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2f321bda9962ca9/Desktop/Excel Sheets/"/>
    </mc:Choice>
  </mc:AlternateContent>
  <xr:revisionPtr revIDLastSave="2" documentId="14_{8C0A78B5-C145-4BF9-8E08-31FA53FBA19C}" xr6:coauthVersionLast="47" xr6:coauthVersionMax="47" xr10:uidLastSave="{BFE5EB6F-052F-4BC9-A461-333078F1ABAD}"/>
  <bookViews>
    <workbookView xWindow="2292" yWindow="1056" windowWidth="20748" windowHeight="11028" firstSheet="2" activeTab="3" xr2:uid="{5AC68521-76F9-4B1F-A139-80DDF2234A0D}"/>
  </bookViews>
  <sheets>
    <sheet name="Settings" sheetId="4" r:id="rId1"/>
    <sheet name="Budget Planning" sheetId="1" r:id="rId2"/>
    <sheet name="Budget Tracking" sheetId="2" r:id="rId3"/>
    <sheet name="Budget Dashboard" sheetId="3" r:id="rId4"/>
    <sheet name="Calculations" sheetId="6" r:id="rId5"/>
    <sheet name="Dropdown Data" sheetId="5" r:id="rId6"/>
  </sheets>
  <definedNames>
    <definedName name="budget" localSheetId="3">'Budget Dashboard'!$L1</definedName>
    <definedName name="budget_range" localSheetId="3">'Budget Dashboard'!$Q1</definedName>
    <definedName name="budget_rank" localSheetId="3">'Budget Dashboard'!$R1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omb_rank_unique" localSheetId="2">'Budget Dashboard'!$W1</definedName>
    <definedName name="current_date">DATE(2025,6,24)</definedName>
    <definedName name="expenses_header_row">ROW(Expenses[[#Headers],[Expenses]])</definedName>
    <definedName name="expenses_max_row">MAX(ROW(Expenses[]))</definedName>
    <definedName name="expenses_min_row">MIN(ROW(Expenses[]))</definedName>
    <definedName name="expenses_total_row">ROW('Budget Planning'!$C$36)</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egory"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vings_header_row">ROW(Savings[[#Headers],[Savings]])</definedName>
    <definedName name="savings_max_row">MAX(ROW(Savings[]))</definedName>
    <definedName name="savings_min_row">MIN(ROW(Savings[]))</definedName>
    <definedName name="savings_total_row">ROW('Budget Planning'!$C$49)</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3">'Budget Dashboard'!$N1</definedName>
    <definedName name="sort_min_row" localSheetId="3">'Budget Dashboard'!$M1</definedName>
    <definedName name="starting_year">Settings!$E$8</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6" l="1" a="1"/>
  <c r="E8" i="6" s="1"/>
  <c r="H73" i="2" a="1"/>
  <c r="H73" i="2" s="1"/>
  <c r="I73" i="2"/>
  <c r="H72" i="2" a="1"/>
  <c r="H72" i="2" s="1"/>
  <c r="I72" i="2"/>
  <c r="H71" i="2" a="1"/>
  <c r="H71" i="2" s="1"/>
  <c r="I71" i="2"/>
  <c r="H70" i="2" a="1"/>
  <c r="H70" i="2" s="1"/>
  <c r="I70" i="2"/>
  <c r="H69" i="2" a="1"/>
  <c r="H69" i="2" s="1"/>
  <c r="I69" i="2"/>
  <c r="H68" i="2" a="1"/>
  <c r="H68" i="2" s="1"/>
  <c r="I68" i="2"/>
  <c r="H66" i="2" a="1"/>
  <c r="H66" i="2" s="1"/>
  <c r="I66" i="2"/>
  <c r="H65" i="2" a="1"/>
  <c r="H65" i="2" s="1"/>
  <c r="I65" i="2"/>
  <c r="H64" i="2" a="1"/>
  <c r="H64" i="2" s="1"/>
  <c r="I64" i="2"/>
  <c r="H63" i="2" a="1"/>
  <c r="H63" i="2" s="1"/>
  <c r="I63" i="2"/>
  <c r="H62" i="2" a="1"/>
  <c r="H62" i="2" s="1"/>
  <c r="I62" i="2"/>
  <c r="H61" i="2" a="1"/>
  <c r="H61" i="2" s="1"/>
  <c r="I61" i="2"/>
  <c r="H60" i="2" a="1"/>
  <c r="H60" i="2" s="1"/>
  <c r="I60" i="2"/>
  <c r="H59" i="2" a="1"/>
  <c r="H59" i="2" s="1"/>
  <c r="I59" i="2"/>
  <c r="H53" i="2" a="1"/>
  <c r="H53" i="2" s="1"/>
  <c r="I53" i="2"/>
  <c r="H58" i="2" a="1"/>
  <c r="H58" i="2" s="1"/>
  <c r="I58" i="2"/>
  <c r="H57" i="2" a="1"/>
  <c r="H57" i="2" s="1"/>
  <c r="I57" i="2"/>
  <c r="H56" i="2" a="1"/>
  <c r="H56" i="2" s="1"/>
  <c r="I56" i="2"/>
  <c r="H55" i="2" a="1"/>
  <c r="H55" i="2" s="1"/>
  <c r="I55" i="2"/>
  <c r="H54" i="2" a="1"/>
  <c r="H54" i="2" s="1"/>
  <c r="I54" i="2"/>
  <c r="H52" i="2" a="1"/>
  <c r="H52" i="2" s="1"/>
  <c r="I52" i="2"/>
  <c r="H51" i="2" a="1"/>
  <c r="H51" i="2" s="1"/>
  <c r="I51" i="2"/>
  <c r="H50" i="2" a="1"/>
  <c r="H50" i="2" s="1"/>
  <c r="I50" i="2"/>
  <c r="H49" i="2" a="1"/>
  <c r="H49" i="2" s="1"/>
  <c r="I49" i="2"/>
  <c r="H48" i="2" a="1"/>
  <c r="H48" i="2" s="1"/>
  <c r="I48" i="2"/>
  <c r="H47" i="2" a="1"/>
  <c r="H47" i="2" s="1"/>
  <c r="I47" i="2"/>
  <c r="H46" i="2" a="1"/>
  <c r="H46" i="2" s="1"/>
  <c r="I46" i="2"/>
  <c r="H45" i="2" a="1"/>
  <c r="H45" i="2" s="1"/>
  <c r="I45" i="2"/>
  <c r="H44" i="2" a="1"/>
  <c r="H44" i="2" s="1"/>
  <c r="I44" i="2"/>
  <c r="H43" i="2" a="1"/>
  <c r="H43" i="2" s="1"/>
  <c r="I43" i="2"/>
  <c r="H42" i="2" a="1"/>
  <c r="H42" i="2" s="1"/>
  <c r="I42" i="2"/>
  <c r="H38" i="2" a="1"/>
  <c r="H38" i="2" s="1"/>
  <c r="I38" i="2"/>
  <c r="H37" i="2" a="1"/>
  <c r="H37" i="2" s="1"/>
  <c r="I37" i="2"/>
  <c r="H31" i="2" a="1"/>
  <c r="H31" i="2" s="1"/>
  <c r="I31" i="2"/>
  <c r="H36" i="2" a="1"/>
  <c r="H36" i="2" s="1"/>
  <c r="I36" i="2"/>
  <c r="H35" i="2" a="1"/>
  <c r="H35" i="2" s="1"/>
  <c r="I35" i="2"/>
  <c r="H34" i="2" a="1"/>
  <c r="H34" i="2" s="1"/>
  <c r="I34" i="2"/>
  <c r="H33" i="2" a="1"/>
  <c r="H33" i="2" s="1"/>
  <c r="I33" i="2"/>
  <c r="H32" i="2" a="1"/>
  <c r="H32" i="2" s="1"/>
  <c r="I32" i="2"/>
  <c r="H30" i="2" a="1"/>
  <c r="H30" i="2" s="1"/>
  <c r="I30" i="2"/>
  <c r="H29" i="2" a="1"/>
  <c r="H29" i="2" s="1"/>
  <c r="I29" i="2"/>
  <c r="H28" i="2" a="1"/>
  <c r="H28" i="2" s="1"/>
  <c r="I28" i="2"/>
  <c r="H27" i="2" a="1"/>
  <c r="H27" i="2" s="1"/>
  <c r="I27" i="2"/>
  <c r="H26" i="2" a="1"/>
  <c r="H26" i="2" s="1"/>
  <c r="I26" i="2"/>
  <c r="H25" i="2" a="1"/>
  <c r="H25" i="2" s="1"/>
  <c r="I25" i="2"/>
  <c r="H24" i="2" a="1"/>
  <c r="H24" i="2" s="1"/>
  <c r="I24" i="2"/>
  <c r="H23" i="2" a="1"/>
  <c r="H23" i="2" s="1"/>
  <c r="I23" i="2"/>
  <c r="H22" i="2" a="1"/>
  <c r="H22" i="2" s="1"/>
  <c r="I22" i="2"/>
  <c r="H21" i="2" a="1"/>
  <c r="H21" i="2" s="1"/>
  <c r="I21" i="2"/>
  <c r="H20" i="2" a="1"/>
  <c r="H20" i="2" s="1"/>
  <c r="I20" i="2"/>
  <c r="H19" i="2" a="1"/>
  <c r="H19" i="2" s="1"/>
  <c r="I19" i="2"/>
  <c r="H18" i="2" a="1"/>
  <c r="H18" i="2" s="1"/>
  <c r="I18" i="2"/>
  <c r="H17" i="2" a="1"/>
  <c r="H17" i="2" s="1"/>
  <c r="I17" i="2"/>
  <c r="H16" i="2" a="1"/>
  <c r="H16" i="2" s="1"/>
  <c r="I16" i="2"/>
  <c r="AD18" i="3"/>
  <c r="AD42" i="3"/>
  <c r="AD44" i="3"/>
  <c r="AD45" i="3"/>
  <c r="AD46" i="3"/>
  <c r="AD47" i="3"/>
  <c r="AD48" i="3"/>
  <c r="AD49" i="3"/>
  <c r="AD50" i="3"/>
  <c r="AC18" i="3"/>
  <c r="AC19" i="3"/>
  <c r="AC39" i="3"/>
  <c r="AC44" i="3"/>
  <c r="AC49" i="3"/>
  <c r="AC50" i="3"/>
  <c r="AB18" i="3"/>
  <c r="AB39" i="3"/>
  <c r="AB40" i="3"/>
  <c r="AB41" i="3"/>
  <c r="AB42" i="3"/>
  <c r="AB44" i="3"/>
  <c r="AB48" i="3"/>
  <c r="AB49" i="3"/>
  <c r="AB50" i="3"/>
  <c r="AA39" i="3"/>
  <c r="AA40" i="3"/>
  <c r="AA41" i="3"/>
  <c r="AA42" i="3"/>
  <c r="AA43" i="3"/>
  <c r="AA44" i="3"/>
  <c r="AA45" i="3"/>
  <c r="AA48" i="3"/>
  <c r="AA49" i="3"/>
  <c r="Z18" i="3"/>
  <c r="Z39" i="3"/>
  <c r="Z40" i="3"/>
  <c r="Z41" i="3"/>
  <c r="Z42" i="3"/>
  <c r="Z44" i="3"/>
  <c r="Z45" i="3"/>
  <c r="Z46" i="3"/>
  <c r="Z49" i="3"/>
  <c r="Z50" i="3"/>
  <c r="Y18" i="3"/>
  <c r="Y39" i="3"/>
  <c r="Y40" i="3"/>
  <c r="Y46" i="3"/>
  <c r="Y47" i="3"/>
  <c r="X18" i="3"/>
  <c r="W18" i="3"/>
  <c r="W37" i="3"/>
  <c r="U18" i="3"/>
  <c r="U47" i="3"/>
  <c r="U48" i="3"/>
  <c r="S29" i="3"/>
  <c r="R18" i="3"/>
  <c r="R29" i="3"/>
  <c r="Q18" i="3"/>
  <c r="P41" i="3"/>
  <c r="I13" i="2"/>
  <c r="H13" i="2" a="1"/>
  <c r="H13" i="2" s="1"/>
  <c r="L18" i="3" a="1"/>
  <c r="L18" i="3" s="1"/>
  <c r="L39" i="3" a="1"/>
  <c r="L39" i="3" s="1"/>
  <c r="L46" i="3" a="1"/>
  <c r="L46" i="3" s="1"/>
  <c r="L47" i="3" a="1"/>
  <c r="L47" i="3" s="1"/>
  <c r="L48" i="3" a="1"/>
  <c r="L48" i="3" s="1"/>
  <c r="L49" i="3" a="1"/>
  <c r="L49" i="3" s="1"/>
  <c r="L50" i="3" a="1"/>
  <c r="L50" i="3" s="1"/>
  <c r="K47" i="3" a="1"/>
  <c r="K47" i="3" s="1"/>
  <c r="K48" i="3" a="1"/>
  <c r="K48" i="3" s="1"/>
  <c r="K49" i="3" a="1"/>
  <c r="K49" i="3" s="1"/>
  <c r="K50" i="3" a="1"/>
  <c r="K50" i="3" s="1"/>
  <c r="H67" i="2" a="1"/>
  <c r="H67" i="2" s="1"/>
  <c r="I67" i="2"/>
  <c r="H41" i="2" a="1"/>
  <c r="H41" i="2" s="1"/>
  <c r="I41" i="2"/>
  <c r="H40" i="2" a="1"/>
  <c r="H40" i="2" s="1"/>
  <c r="I40" i="2"/>
  <c r="H39" i="2" a="1"/>
  <c r="H39" i="2" s="1"/>
  <c r="I39" i="2"/>
  <c r="I48" i="3"/>
  <c r="J13" i="3" a="1"/>
  <c r="J13" i="3" s="1"/>
  <c r="D18" i="3"/>
  <c r="I18" i="3" s="1" a="1"/>
  <c r="I18" i="3" s="1"/>
  <c r="D30" i="3"/>
  <c r="I30" i="3" s="1" a="1"/>
  <c r="I30" i="3" s="1"/>
  <c r="D31" i="3"/>
  <c r="I31" i="3" s="1" a="1"/>
  <c r="I31" i="3" s="1"/>
  <c r="D50" i="3"/>
  <c r="I50" i="3" s="1" a="1"/>
  <c r="I50" i="3" s="1"/>
  <c r="D13" i="3"/>
  <c r="I13" i="3" s="1" a="1"/>
  <c r="I13" i="3" s="1"/>
  <c r="F28" i="3"/>
  <c r="F36" i="3"/>
  <c r="F37" i="3"/>
  <c r="F41" i="3"/>
  <c r="F42" i="3"/>
  <c r="F43" i="3"/>
  <c r="Q43" i="3" s="1"/>
  <c r="H14" i="3"/>
  <c r="H15" i="3"/>
  <c r="H16" i="3"/>
  <c r="H17" i="3"/>
  <c r="H18" i="3"/>
  <c r="AA18" i="3" s="1"/>
  <c r="H19" i="3"/>
  <c r="F19" i="3" s="1"/>
  <c r="H20" i="3"/>
  <c r="H21" i="3"/>
  <c r="H22" i="3"/>
  <c r="H23" i="3"/>
  <c r="H24" i="3"/>
  <c r="H25" i="3"/>
  <c r="H26" i="3"/>
  <c r="H27" i="3"/>
  <c r="H28" i="3"/>
  <c r="H29" i="3"/>
  <c r="H30" i="3"/>
  <c r="H31" i="3"/>
  <c r="Z31" i="3" s="1"/>
  <c r="H32" i="3"/>
  <c r="H33" i="3"/>
  <c r="H34" i="3"/>
  <c r="H35" i="3"/>
  <c r="H36" i="3"/>
  <c r="H37" i="3"/>
  <c r="H38" i="3"/>
  <c r="H39" i="3"/>
  <c r="AD39" i="3" s="1"/>
  <c r="H40" i="3"/>
  <c r="AD40" i="3" s="1"/>
  <c r="H41" i="3"/>
  <c r="AD41" i="3" s="1"/>
  <c r="H42" i="3"/>
  <c r="AC42" i="3" s="1"/>
  <c r="H43" i="3"/>
  <c r="Z43" i="3" s="1"/>
  <c r="H44" i="3"/>
  <c r="Y44" i="3" s="1"/>
  <c r="H45" i="3"/>
  <c r="Y45" i="3" s="1"/>
  <c r="H46" i="3"/>
  <c r="AA46" i="3" s="1"/>
  <c r="H47" i="3"/>
  <c r="H48" i="3"/>
  <c r="AC48" i="3" s="1"/>
  <c r="H49" i="3"/>
  <c r="Y49" i="3" s="1"/>
  <c r="H50" i="3"/>
  <c r="AA50" i="3" s="1"/>
  <c r="H13" i="3"/>
  <c r="G13" i="3" a="1"/>
  <c r="G13" i="3" s="1"/>
  <c r="G14" i="3" a="1"/>
  <c r="G14" i="3"/>
  <c r="G15" i="3" a="1"/>
  <c r="G15" i="3" s="1"/>
  <c r="G16" i="3" a="1"/>
  <c r="G16" i="3"/>
  <c r="G17" i="3" a="1"/>
  <c r="G17" i="3"/>
  <c r="G18" i="3" a="1"/>
  <c r="G18" i="3" s="1"/>
  <c r="G19" i="3" a="1"/>
  <c r="G19" i="3"/>
  <c r="G20" i="3" a="1"/>
  <c r="G20" i="3" s="1"/>
  <c r="G21" i="3" a="1"/>
  <c r="G21" i="3"/>
  <c r="G22" i="3" a="1"/>
  <c r="G22" i="3"/>
  <c r="G23" i="3" a="1"/>
  <c r="G23" i="3" s="1"/>
  <c r="G24" i="3" a="1"/>
  <c r="G24" i="3" s="1"/>
  <c r="G25" i="3" a="1"/>
  <c r="G25" i="3" s="1"/>
  <c r="G26" i="3" a="1"/>
  <c r="G26" i="3" s="1"/>
  <c r="G27" i="3" a="1"/>
  <c r="G27" i="3"/>
  <c r="F27" i="3" s="1"/>
  <c r="G28" i="3" a="1"/>
  <c r="G28" i="3"/>
  <c r="G29" i="3" a="1"/>
  <c r="G29" i="3"/>
  <c r="G30" i="3" a="1"/>
  <c r="G30" i="3"/>
  <c r="G31" i="3" a="1"/>
  <c r="G31" i="3" s="1"/>
  <c r="G32" i="3" a="1"/>
  <c r="G32" i="3"/>
  <c r="G33" i="3" a="1"/>
  <c r="G33" i="3"/>
  <c r="G34" i="3" a="1"/>
  <c r="G34" i="3" s="1"/>
  <c r="G35" i="3" a="1"/>
  <c r="G35" i="3"/>
  <c r="G36" i="3" a="1"/>
  <c r="G36" i="3" s="1"/>
  <c r="G37" i="3" a="1"/>
  <c r="G37" i="3" s="1"/>
  <c r="G38" i="3" a="1"/>
  <c r="G38" i="3" s="1"/>
  <c r="G39" i="3" a="1"/>
  <c r="G39" i="3" s="1"/>
  <c r="G40" i="3" a="1"/>
  <c r="G40" i="3"/>
  <c r="G41" i="3" a="1"/>
  <c r="G41" i="3"/>
  <c r="G42" i="3" a="1"/>
  <c r="G42" i="3" s="1"/>
  <c r="G43" i="3" a="1"/>
  <c r="G43" i="3"/>
  <c r="G44" i="3" a="1"/>
  <c r="G44" i="3"/>
  <c r="G45" i="3" a="1"/>
  <c r="G45" i="3"/>
  <c r="G46" i="3" a="1"/>
  <c r="G46" i="3" s="1"/>
  <c r="G47" i="3" a="1"/>
  <c r="G47" i="3" s="1"/>
  <c r="F47" i="3" s="1"/>
  <c r="G48" i="3" a="1"/>
  <c r="G48" i="3" s="1"/>
  <c r="F48" i="3" s="1"/>
  <c r="G49" i="3" a="1"/>
  <c r="G49" i="3"/>
  <c r="G50" i="3" a="1"/>
  <c r="G50" i="3" s="1"/>
  <c r="E14" i="3" a="1"/>
  <c r="E14" i="3"/>
  <c r="D14" i="3" s="1"/>
  <c r="I14" i="3" s="1" a="1"/>
  <c r="I14" i="3" s="1"/>
  <c r="E15" i="3" a="1"/>
  <c r="E15" i="3" s="1"/>
  <c r="E16" i="3" a="1"/>
  <c r="E16" i="3"/>
  <c r="E17" i="3" a="1"/>
  <c r="E17" i="3" s="1"/>
  <c r="E18" i="3" a="1"/>
  <c r="E18" i="3" s="1"/>
  <c r="F18" i="3" s="1"/>
  <c r="T18" i="3" s="1"/>
  <c r="E19" i="3" a="1"/>
  <c r="E19" i="3"/>
  <c r="L19" i="3" s="1" a="1"/>
  <c r="L19" i="3" s="1"/>
  <c r="E20" i="3" a="1"/>
  <c r="E20" i="3" s="1"/>
  <c r="F20" i="3" s="1"/>
  <c r="E21" i="3" a="1"/>
  <c r="E21" i="3" s="1"/>
  <c r="F21" i="3" s="1"/>
  <c r="E22" i="3" a="1"/>
  <c r="E22" i="3"/>
  <c r="E23" i="3" a="1"/>
  <c r="E23" i="3"/>
  <c r="E24" i="3" a="1"/>
  <c r="E24" i="3"/>
  <c r="E25" i="3" a="1"/>
  <c r="E25" i="3" s="1"/>
  <c r="E26" i="3" a="1"/>
  <c r="E26" i="3" s="1"/>
  <c r="E27" i="3" a="1"/>
  <c r="E27" i="3" s="1"/>
  <c r="E28" i="3" a="1"/>
  <c r="E28" i="3"/>
  <c r="E29" i="3" a="1"/>
  <c r="E29" i="3" s="1"/>
  <c r="F29" i="3" s="1"/>
  <c r="X29" i="3" s="1"/>
  <c r="E30" i="3" a="1"/>
  <c r="E30" i="3"/>
  <c r="E31" i="3" a="1"/>
  <c r="E31" i="3"/>
  <c r="E32" i="3" a="1"/>
  <c r="E32" i="3"/>
  <c r="F32" i="3" s="1"/>
  <c r="E33" i="3" a="1"/>
  <c r="E33" i="3" s="1"/>
  <c r="E34" i="3" a="1"/>
  <c r="E34" i="3" s="1"/>
  <c r="F34" i="3" s="1"/>
  <c r="E35" i="3" a="1"/>
  <c r="E35" i="3" s="1"/>
  <c r="E36" i="3" a="1"/>
  <c r="E36" i="3" s="1"/>
  <c r="E37" i="3" a="1"/>
  <c r="E37" i="3" s="1"/>
  <c r="E38" i="3" a="1"/>
  <c r="E38" i="3" s="1"/>
  <c r="E39" i="3" a="1"/>
  <c r="E39" i="3"/>
  <c r="E40" i="3" a="1"/>
  <c r="E40" i="3" s="1"/>
  <c r="E41" i="3" a="1"/>
  <c r="E41" i="3"/>
  <c r="E42" i="3" a="1"/>
  <c r="E42" i="3" s="1"/>
  <c r="L42" i="3" s="1" a="1"/>
  <c r="L42" i="3" s="1"/>
  <c r="E43" i="3" a="1"/>
  <c r="E43" i="3"/>
  <c r="E44" i="3" a="1"/>
  <c r="E44" i="3"/>
  <c r="E45" i="3" a="1"/>
  <c r="E45" i="3"/>
  <c r="E46" i="3" a="1"/>
  <c r="E46" i="3" s="1"/>
  <c r="E47" i="3" a="1"/>
  <c r="E47" i="3" s="1"/>
  <c r="E48" i="3" a="1"/>
  <c r="E48" i="3"/>
  <c r="D48" i="3" s="1"/>
  <c r="I48" i="3" s="1" a="1"/>
  <c r="E49" i="3" a="1"/>
  <c r="E49" i="3" s="1"/>
  <c r="E50" i="3" a="1"/>
  <c r="E50" i="3" s="1"/>
  <c r="E13" i="3" a="1"/>
  <c r="E13" i="3"/>
  <c r="C13" i="3" a="1"/>
  <c r="C13" i="3"/>
  <c r="E20" i="6" a="1"/>
  <c r="E20" i="6" s="1"/>
  <c r="E19" i="6" a="1"/>
  <c r="E19" i="6" s="1"/>
  <c r="C11" i="5"/>
  <c r="C12" i="5"/>
  <c r="C13" i="5"/>
  <c r="C14" i="5"/>
  <c r="C15" i="5"/>
  <c r="C16" i="5"/>
  <c r="C17" i="5"/>
  <c r="C18" i="5"/>
  <c r="C10" i="5"/>
  <c r="C9" i="5"/>
  <c r="E12" i="6" a="1"/>
  <c r="E12" i="6" s="1"/>
  <c r="E11" i="6"/>
  <c r="E9" i="6"/>
  <c r="I12" i="2"/>
  <c r="I14" i="2"/>
  <c r="I15" i="2"/>
  <c r="H12" i="2" a="1"/>
  <c r="H12" i="2" s="1"/>
  <c r="H14" i="2" a="1"/>
  <c r="H14" i="2" s="1"/>
  <c r="H15" i="2" a="1"/>
  <c r="H15" i="2" s="1"/>
  <c r="Q10" i="1"/>
  <c r="Q27" i="1"/>
  <c r="AE27" i="1"/>
  <c r="AS27" i="1"/>
  <c r="BG27" i="1"/>
  <c r="BU27" i="1"/>
  <c r="CI27" i="1"/>
  <c r="CW27" i="1"/>
  <c r="DK27" i="1"/>
  <c r="DY27" i="1"/>
  <c r="EM27" i="1"/>
  <c r="Q28" i="1"/>
  <c r="AE28" i="1"/>
  <c r="AS28" i="1"/>
  <c r="BG28" i="1"/>
  <c r="BU28" i="1"/>
  <c r="CI28" i="1"/>
  <c r="CW28" i="1"/>
  <c r="DK28" i="1"/>
  <c r="DY28" i="1"/>
  <c r="EM28" i="1"/>
  <c r="Q29" i="1"/>
  <c r="AE29" i="1"/>
  <c r="AS29" i="1"/>
  <c r="BG29" i="1"/>
  <c r="BU29" i="1"/>
  <c r="CI29" i="1"/>
  <c r="CW29" i="1"/>
  <c r="DK29" i="1"/>
  <c r="DY29" i="1"/>
  <c r="EM29" i="1"/>
  <c r="AS10" i="1"/>
  <c r="BG10" i="1"/>
  <c r="BU10" i="1"/>
  <c r="CI10" i="1"/>
  <c r="CW10" i="1"/>
  <c r="DK10" i="1"/>
  <c r="DY10" i="1"/>
  <c r="EM10" i="1"/>
  <c r="AS11" i="1"/>
  <c r="BG11" i="1"/>
  <c r="BU11" i="1"/>
  <c r="CI11" i="1"/>
  <c r="CW11" i="1"/>
  <c r="DK11" i="1"/>
  <c r="DY11" i="1"/>
  <c r="EM11" i="1"/>
  <c r="AS12" i="1"/>
  <c r="BG12" i="1"/>
  <c r="BU12" i="1"/>
  <c r="CI12" i="1"/>
  <c r="CW12" i="1"/>
  <c r="DK12" i="1"/>
  <c r="DY12" i="1"/>
  <c r="EM12" i="1"/>
  <c r="AS13" i="1"/>
  <c r="BG13" i="1"/>
  <c r="BU13" i="1"/>
  <c r="CI13" i="1"/>
  <c r="CW13" i="1"/>
  <c r="DK13" i="1"/>
  <c r="DY13" i="1"/>
  <c r="EM13" i="1"/>
  <c r="AS14" i="1"/>
  <c r="BG14" i="1"/>
  <c r="BU14" i="1"/>
  <c r="CI14" i="1"/>
  <c r="CW14" i="1"/>
  <c r="DK14" i="1"/>
  <c r="DY14" i="1"/>
  <c r="EM14" i="1"/>
  <c r="AS15" i="1"/>
  <c r="BG15" i="1"/>
  <c r="BU15" i="1"/>
  <c r="CI15" i="1"/>
  <c r="CW15" i="1"/>
  <c r="DK15" i="1"/>
  <c r="DY15" i="1"/>
  <c r="EM15" i="1"/>
  <c r="AS16" i="1"/>
  <c r="BG16" i="1"/>
  <c r="BU16" i="1"/>
  <c r="CI16" i="1"/>
  <c r="CW16" i="1"/>
  <c r="DK16" i="1"/>
  <c r="DY16" i="1"/>
  <c r="EM16" i="1"/>
  <c r="AS17" i="1"/>
  <c r="BG17" i="1"/>
  <c r="BU17" i="1"/>
  <c r="CI17" i="1"/>
  <c r="CW17" i="1"/>
  <c r="DK17" i="1"/>
  <c r="DY17" i="1"/>
  <c r="EM17" i="1"/>
  <c r="AS18" i="1"/>
  <c r="BG18" i="1"/>
  <c r="BU18" i="1"/>
  <c r="CI18" i="1"/>
  <c r="CW18" i="1"/>
  <c r="DK18" i="1"/>
  <c r="DY18" i="1"/>
  <c r="EM18" i="1"/>
  <c r="AS19" i="1"/>
  <c r="BG19" i="1"/>
  <c r="BU19" i="1"/>
  <c r="CI19" i="1"/>
  <c r="CW19" i="1"/>
  <c r="DK19" i="1"/>
  <c r="DY19" i="1"/>
  <c r="EM19" i="1"/>
  <c r="AS23" i="1"/>
  <c r="BG23" i="1"/>
  <c r="BU23" i="1"/>
  <c r="CI23" i="1"/>
  <c r="CW23" i="1"/>
  <c r="DK23" i="1"/>
  <c r="DY23" i="1"/>
  <c r="EM23" i="1"/>
  <c r="AS24" i="1"/>
  <c r="BG24" i="1"/>
  <c r="BU24" i="1"/>
  <c r="CI24" i="1"/>
  <c r="CW24" i="1"/>
  <c r="DK24" i="1"/>
  <c r="DY24" i="1"/>
  <c r="EM24" i="1"/>
  <c r="AS25" i="1"/>
  <c r="BG25" i="1"/>
  <c r="BU25" i="1"/>
  <c r="CI25" i="1"/>
  <c r="CW25" i="1"/>
  <c r="DK25" i="1"/>
  <c r="DY25" i="1"/>
  <c r="EM25" i="1"/>
  <c r="AS26" i="1"/>
  <c r="BG26" i="1"/>
  <c r="BU26" i="1"/>
  <c r="CI26" i="1"/>
  <c r="CW26" i="1"/>
  <c r="DK26" i="1"/>
  <c r="DY26" i="1"/>
  <c r="EM26" i="1"/>
  <c r="AS30" i="1"/>
  <c r="BG30" i="1"/>
  <c r="BU30" i="1"/>
  <c r="CI30" i="1"/>
  <c r="CW30" i="1"/>
  <c r="DK30" i="1"/>
  <c r="DY30" i="1"/>
  <c r="EM30" i="1"/>
  <c r="AS31" i="1"/>
  <c r="BG31" i="1"/>
  <c r="BU31" i="1"/>
  <c r="CI31" i="1"/>
  <c r="CW31" i="1"/>
  <c r="DK31" i="1"/>
  <c r="DY31" i="1"/>
  <c r="EM31" i="1"/>
  <c r="AS32" i="1"/>
  <c r="BG32" i="1"/>
  <c r="BU32" i="1"/>
  <c r="CI32" i="1"/>
  <c r="CW32" i="1"/>
  <c r="DK32" i="1"/>
  <c r="DY32" i="1"/>
  <c r="EM32" i="1"/>
  <c r="AS33" i="1"/>
  <c r="BG33" i="1"/>
  <c r="BU33" i="1"/>
  <c r="CI33" i="1"/>
  <c r="CW33" i="1"/>
  <c r="DK33" i="1"/>
  <c r="DY33" i="1"/>
  <c r="EM33" i="1"/>
  <c r="AS34" i="1"/>
  <c r="BG34" i="1"/>
  <c r="BU34" i="1"/>
  <c r="CI34" i="1"/>
  <c r="CW34" i="1"/>
  <c r="DK34" i="1"/>
  <c r="DY34" i="1"/>
  <c r="EM34" i="1"/>
  <c r="AS35" i="1"/>
  <c r="BG35" i="1"/>
  <c r="BU35" i="1"/>
  <c r="CI35" i="1"/>
  <c r="CW35" i="1"/>
  <c r="DK35" i="1"/>
  <c r="DY35" i="1"/>
  <c r="EM35" i="1"/>
  <c r="AS39" i="1"/>
  <c r="BG39" i="1"/>
  <c r="BU39" i="1"/>
  <c r="CI39" i="1"/>
  <c r="CW39" i="1"/>
  <c r="DK39" i="1"/>
  <c r="DY39" i="1"/>
  <c r="EM39" i="1"/>
  <c r="AS40" i="1"/>
  <c r="BG40" i="1"/>
  <c r="BU40" i="1"/>
  <c r="CI40" i="1"/>
  <c r="CW40" i="1"/>
  <c r="DK40" i="1"/>
  <c r="DY40" i="1"/>
  <c r="EM40" i="1"/>
  <c r="AS41" i="1"/>
  <c r="BG41" i="1"/>
  <c r="BU41" i="1"/>
  <c r="CI41" i="1"/>
  <c r="CW41" i="1"/>
  <c r="DK41" i="1"/>
  <c r="DY41" i="1"/>
  <c r="EM41" i="1"/>
  <c r="AS42" i="1"/>
  <c r="BG42" i="1"/>
  <c r="BU42" i="1"/>
  <c r="CI42" i="1"/>
  <c r="CW42" i="1"/>
  <c r="DK42" i="1"/>
  <c r="DY42" i="1"/>
  <c r="EM42" i="1"/>
  <c r="AS43" i="1"/>
  <c r="BG43" i="1"/>
  <c r="BU43" i="1"/>
  <c r="CI43" i="1"/>
  <c r="CW43" i="1"/>
  <c r="DK43" i="1"/>
  <c r="DY43" i="1"/>
  <c r="EM43" i="1"/>
  <c r="AS44" i="1"/>
  <c r="BG44" i="1"/>
  <c r="BU44" i="1"/>
  <c r="CI44" i="1"/>
  <c r="CW44" i="1"/>
  <c r="DK44" i="1"/>
  <c r="DY44" i="1"/>
  <c r="EM44" i="1"/>
  <c r="AS45" i="1"/>
  <c r="BG45" i="1"/>
  <c r="BU45" i="1"/>
  <c r="CI45" i="1"/>
  <c r="CW45" i="1"/>
  <c r="DK45" i="1"/>
  <c r="DY45" i="1"/>
  <c r="EM45" i="1"/>
  <c r="AS46" i="1"/>
  <c r="BG46" i="1"/>
  <c r="BU46" i="1"/>
  <c r="CI46" i="1"/>
  <c r="CW46" i="1"/>
  <c r="DK46" i="1"/>
  <c r="DY46" i="1"/>
  <c r="EM46" i="1"/>
  <c r="AS47" i="1"/>
  <c r="BG47" i="1"/>
  <c r="BU47" i="1"/>
  <c r="CI47" i="1"/>
  <c r="CW47" i="1"/>
  <c r="DK47" i="1"/>
  <c r="DY47" i="1"/>
  <c r="EM47" i="1"/>
  <c r="AS48" i="1"/>
  <c r="BG48" i="1"/>
  <c r="BU48" i="1"/>
  <c r="CI48" i="1"/>
  <c r="CW48" i="1"/>
  <c r="DK48" i="1"/>
  <c r="DY48" i="1"/>
  <c r="EM48" i="1"/>
  <c r="E5" i="1"/>
  <c r="S5" i="1" s="1"/>
  <c r="U9" i="1" s="1"/>
  <c r="AE10" i="1"/>
  <c r="AE11" i="1"/>
  <c r="AE12" i="1"/>
  <c r="AE13" i="1"/>
  <c r="AE14" i="1"/>
  <c r="AE15" i="1"/>
  <c r="AE16" i="1"/>
  <c r="AE17" i="1"/>
  <c r="AE18" i="1"/>
  <c r="AE19" i="1"/>
  <c r="AE23" i="1"/>
  <c r="AE24" i="1"/>
  <c r="AE25" i="1"/>
  <c r="AE26" i="1"/>
  <c r="AE30" i="1"/>
  <c r="AE31" i="1"/>
  <c r="AE32" i="1"/>
  <c r="AE33" i="1"/>
  <c r="AE34" i="1"/>
  <c r="AE35" i="1"/>
  <c r="AE39" i="1"/>
  <c r="AE40" i="1"/>
  <c r="AE41" i="1"/>
  <c r="AE42" i="1"/>
  <c r="AE43" i="1"/>
  <c r="AE44" i="1"/>
  <c r="AE45" i="1"/>
  <c r="AE46" i="1"/>
  <c r="AE47" i="1"/>
  <c r="AE48" i="1"/>
  <c r="Q48" i="1"/>
  <c r="Q47" i="1"/>
  <c r="Q46" i="1"/>
  <c r="Q45" i="1"/>
  <c r="Q44" i="1"/>
  <c r="Q43" i="1"/>
  <c r="Q42" i="1"/>
  <c r="Q41" i="1"/>
  <c r="Q40" i="1"/>
  <c r="Q39" i="1"/>
  <c r="Q23" i="1"/>
  <c r="Q35" i="1"/>
  <c r="Q34" i="1"/>
  <c r="Q33" i="1"/>
  <c r="Q32" i="1"/>
  <c r="Q31" i="1"/>
  <c r="Q30" i="1"/>
  <c r="Q26" i="1"/>
  <c r="Q25" i="1"/>
  <c r="Q24" i="1"/>
  <c r="Q19" i="1"/>
  <c r="Q14" i="1"/>
  <c r="Q15" i="1"/>
  <c r="Q16" i="1"/>
  <c r="Q18" i="1"/>
  <c r="Q17" i="1"/>
  <c r="Q13" i="1"/>
  <c r="Q12" i="1"/>
  <c r="Q11" i="1"/>
  <c r="DQ36" i="1" a="1"/>
  <c r="BR36" i="1" a="1"/>
  <c r="BJ36" i="1" a="1"/>
  <c r="Y20" i="1" a="1"/>
  <c r="DR49" i="1" a="1"/>
  <c r="CB36" i="1" a="1"/>
  <c r="BO36" i="1" a="1"/>
  <c r="CZ36" i="1" a="1"/>
  <c r="CK49" i="1" a="1"/>
  <c r="AJ36" i="1" a="1"/>
  <c r="BI36" i="1" a="1"/>
  <c r="CG20" i="1" a="1"/>
  <c r="BR20" i="1" a="1"/>
  <c r="EB49" i="1" a="1"/>
  <c r="DE49" i="1" a="1"/>
  <c r="DW36" i="1" a="1"/>
  <c r="AB20" i="1" a="1"/>
  <c r="AG36" i="1" a="1"/>
  <c r="BK20" i="1" a="1"/>
  <c r="AY20" i="1" a="1"/>
  <c r="CG36" i="1" a="1"/>
  <c r="EL49" i="1" a="1"/>
  <c r="AE49" i="1" a="1"/>
  <c r="BT36" i="1" a="1"/>
  <c r="EA36" i="1" a="1"/>
  <c r="DM49" i="1" a="1"/>
  <c r="DI36" i="1" a="1"/>
  <c r="Z20" i="1" a="1"/>
  <c r="BM49" i="1" a="1"/>
  <c r="AE20" i="1" a="1"/>
  <c r="V36" i="1" a="1"/>
  <c r="EM36" i="1" a="1"/>
  <c r="BE20" i="1" a="1"/>
  <c r="AQ49" i="1" a="1"/>
  <c r="BG49" i="1" a="1"/>
  <c r="BC36" i="1" a="1"/>
  <c r="CH20" i="1" a="1"/>
  <c r="BT20" i="1" a="1"/>
  <c r="AX36" i="1" a="1"/>
  <c r="BK49" i="1" a="1"/>
  <c r="AM36" i="1" a="1"/>
  <c r="S49" i="1" a="1"/>
  <c r="EJ20" i="1" a="1"/>
  <c r="DF49" i="1" a="1"/>
  <c r="AG49" i="1" a="1"/>
  <c r="AP36" i="1" a="1"/>
  <c r="BI20" i="1" a="1"/>
  <c r="AI49" i="1" a="1"/>
  <c r="CS36" i="1" a="1"/>
  <c r="EA49" i="1" a="1"/>
  <c r="AK20" i="1" a="1"/>
  <c r="CM36" i="1" a="1"/>
  <c r="M20" i="1" a="1"/>
  <c r="CK20" i="1" a="1"/>
  <c r="O20" i="1" a="1"/>
  <c r="AJ20" i="1" a="1"/>
  <c r="CP36" i="1" a="1"/>
  <c r="DX36" i="1" a="1"/>
  <c r="AW20" i="1" a="1"/>
  <c r="BF49" i="1" a="1"/>
  <c r="I36" i="1" a="1"/>
  <c r="CO36" i="1" a="1"/>
  <c r="BQ20" i="1" a="1"/>
  <c r="AO20" i="1" a="1"/>
  <c r="AM49" i="1" a="1"/>
  <c r="S20" i="1" a="1"/>
  <c r="DG20" i="1" a="1"/>
  <c r="EI49" i="1" a="1"/>
  <c r="CW20" i="1" a="1"/>
  <c r="V49" i="1" a="1"/>
  <c r="F20" i="1" a="1"/>
  <c r="AP49" i="1" a="1"/>
  <c r="DK49" i="1" a="1"/>
  <c r="I20" i="1" a="1"/>
  <c r="CY20" i="1" a="1"/>
  <c r="DS49" i="1" a="1"/>
  <c r="AV49" i="1" a="1"/>
  <c r="DH20" i="1" a="1"/>
  <c r="BA49" i="1" a="1"/>
  <c r="CR36" i="1" a="1"/>
  <c r="CU20" i="1" a="1"/>
  <c r="T49" i="1" a="1"/>
  <c r="AY49" i="1" a="1"/>
  <c r="K36" i="1" a="1"/>
  <c r="DV49" i="1" a="1"/>
  <c r="BZ20" i="1" a="1"/>
  <c r="AW36" i="1" a="1"/>
  <c r="CI20" i="1" a="1"/>
  <c r="AN49" i="1" a="1"/>
  <c r="DP36" i="1" a="1"/>
  <c r="AK49" i="1" a="1"/>
  <c r="BP49" i="1" a="1"/>
  <c r="E20" i="1" a="1"/>
  <c r="EJ36" i="1" a="1"/>
  <c r="CV49" i="1" a="1"/>
  <c r="CB49" i="1" a="1"/>
  <c r="EJ49" i="1" a="1"/>
  <c r="AD36" i="1" a="1"/>
  <c r="ED49" i="1" a="1"/>
  <c r="BN20" i="1" a="1"/>
  <c r="DQ20" i="1" a="1"/>
  <c r="AB49" i="1" a="1"/>
  <c r="H36" i="1" a="1"/>
  <c r="EK49" i="1" a="1"/>
  <c r="AM20" i="1" a="1"/>
  <c r="K49" i="1" a="1"/>
  <c r="CU36" i="1" a="1"/>
  <c r="CA36" i="1" a="1"/>
  <c r="CP49" i="1" a="1"/>
  <c r="AS49" i="1" a="1"/>
  <c r="CE49" i="1" a="1"/>
  <c r="AR36" i="1" a="1"/>
  <c r="E49" i="1" a="1"/>
  <c r="CG49" i="1" a="1"/>
  <c r="G49" i="1" a="1"/>
  <c r="BA20" i="1" a="1"/>
  <c r="BW36" i="1" a="1"/>
  <c r="H49" i="1" a="1"/>
  <c r="BU20" i="1" a="1"/>
  <c r="BO20" i="1" a="1"/>
  <c r="DY36" i="1" a="1"/>
  <c r="EH36" i="1" a="1"/>
  <c r="CV36" i="1" a="1"/>
  <c r="T20" i="1" a="1"/>
  <c r="BK36" i="1" a="1"/>
  <c r="CL49" i="1" a="1"/>
  <c r="CC20" i="1" a="1"/>
  <c r="BS20" i="1" a="1"/>
  <c r="DD36" i="1" a="1"/>
  <c r="DN36" i="1" a="1"/>
  <c r="AV20" i="1" a="1"/>
  <c r="DP20" i="1" a="1"/>
  <c r="CL36" i="1" a="1"/>
  <c r="BB49" i="1" a="1"/>
  <c r="T36" i="1" a="1"/>
  <c r="AQ20" i="1" a="1"/>
  <c r="BO49" i="1" a="1"/>
  <c r="DN49" i="1" a="1"/>
  <c r="P36" i="1" a="1"/>
  <c r="EA20" i="1" a="1"/>
  <c r="CK36" i="1" a="1"/>
  <c r="U20" i="1" a="1"/>
  <c r="N20" i="1" a="1"/>
  <c r="X20" i="1" a="1"/>
  <c r="CD49" i="1" a="1"/>
  <c r="BL49" i="1" a="1"/>
  <c r="DX49" i="1" a="1"/>
  <c r="DJ49" i="1" a="1"/>
  <c r="BX36" i="1" a="1"/>
  <c r="BW20" i="1" a="1"/>
  <c r="CF36" i="1" a="1"/>
  <c r="O36" i="1" a="1"/>
  <c r="CS49" i="1" a="1"/>
  <c r="BA36" i="1" a="1"/>
  <c r="DT20" i="1" a="1"/>
  <c r="BB20" i="1" a="1"/>
  <c r="EL20" i="1" a="1"/>
  <c r="AJ49" i="1" a="1"/>
  <c r="AH20" i="1" a="1"/>
  <c r="DS36" i="1" a="1"/>
  <c r="BZ36" i="1" a="1"/>
  <c r="BJ20" i="1" a="1"/>
  <c r="AU20" i="1" a="1"/>
  <c r="Q20" i="1" a="1"/>
  <c r="M49" i="1" a="1"/>
  <c r="DN20" i="1" a="1"/>
  <c r="BS49" i="1" a="1"/>
  <c r="EG20" i="1" a="1"/>
  <c r="CR49" i="1" a="1"/>
  <c r="Y36" i="1" a="1"/>
  <c r="BD36" i="1" a="1"/>
  <c r="DU20" i="1" a="1"/>
  <c r="BW49" i="1" a="1"/>
  <c r="CT49" i="1" a="1"/>
  <c r="CH49" i="1" a="1"/>
  <c r="CV20" i="1" a="1"/>
  <c r="AX20" i="1" a="1"/>
  <c r="DH36" i="1" a="1"/>
  <c r="DA20" i="1" a="1"/>
  <c r="BG20" i="1" a="1"/>
  <c r="BR49" i="1" a="1"/>
  <c r="BQ36" i="1" a="1"/>
  <c r="AN20" i="1" a="1"/>
  <c r="AP20" i="1" a="1"/>
  <c r="CD20" i="1" a="1"/>
  <c r="DC49" i="1" a="1"/>
  <c r="CN36" i="1" a="1"/>
  <c r="EG36" i="1" a="1"/>
  <c r="E36" i="1" a="1"/>
  <c r="AI36" i="1" a="1"/>
  <c r="CP20" i="1" a="1"/>
  <c r="AC36" i="1" a="1"/>
  <c r="AO49" i="1" a="1"/>
  <c r="Z36" i="1" a="1"/>
  <c r="DS20" i="1" a="1"/>
  <c r="DH49" i="1" a="1"/>
  <c r="DI49" i="1" a="1"/>
  <c r="W36" i="1" a="1"/>
  <c r="CF49" i="1" a="1"/>
  <c r="DC20" i="1" a="1"/>
  <c r="AN36" i="1" a="1"/>
  <c r="EL36" i="1" a="1"/>
  <c r="CS20" i="1" a="1"/>
  <c r="BY49" i="1" a="1"/>
  <c r="H20" i="1" a="1"/>
  <c r="BI49" i="1" a="1"/>
  <c r="DQ49" i="1" a="1"/>
  <c r="DK20" i="1" a="1"/>
  <c r="CR20" i="1" a="1"/>
  <c r="M36" i="1" a="1"/>
  <c r="AY36" i="1" a="1"/>
  <c r="DM20" i="1" a="1"/>
  <c r="AV36" i="1" a="1"/>
  <c r="N36" i="1" a="1"/>
  <c r="BN49" i="1" a="1"/>
  <c r="L49" i="1" a="1"/>
  <c r="BM36" i="1" a="1"/>
  <c r="J20" i="1" a="1"/>
  <c r="EE49" i="1" a="1"/>
  <c r="L20" i="1" a="1"/>
  <c r="CA20" i="1" a="1"/>
  <c r="DW20" i="1" a="1"/>
  <c r="EB20" i="1" a="1"/>
  <c r="EB36" i="1" a="1"/>
  <c r="EM49" i="1" a="1"/>
  <c r="BC20" i="1" a="1"/>
  <c r="CC36" i="1" a="1"/>
  <c r="DG49" i="1" a="1"/>
  <c r="EC36" i="1" a="1"/>
  <c r="EH49" i="1" a="1"/>
  <c r="BC49" i="1" a="1"/>
  <c r="AR20" i="1" a="1"/>
  <c r="P20" i="1" a="1"/>
  <c r="AK36" i="1" a="1"/>
  <c r="BQ49" i="1" a="1"/>
  <c r="BY20" i="1" a="1"/>
  <c r="AH36" i="1" a="1"/>
  <c r="AO36" i="1" a="1"/>
  <c r="BP36" i="1" a="1"/>
  <c r="DA49" i="1" a="1"/>
  <c r="CN49" i="1" a="1"/>
  <c r="BG36" i="1" a="1"/>
  <c r="AA49" i="1" a="1"/>
  <c r="AA36" i="1" a="1"/>
  <c r="Z49" i="1" a="1"/>
  <c r="DB49" i="1" a="1"/>
  <c r="AQ36" i="1" a="1"/>
  <c r="AU36" i="1" a="1"/>
  <c r="DR36" i="1" a="1"/>
  <c r="DR20" i="1" a="1"/>
  <c r="CN20" i="1" a="1"/>
  <c r="ED20" i="1" a="1"/>
  <c r="EC49" i="1" a="1"/>
  <c r="AZ20" i="1" a="1"/>
  <c r="EG49" i="1" a="1"/>
  <c r="F49" i="1" a="1"/>
  <c r="DY49" i="1" a="1"/>
  <c r="DU49" i="1" a="1"/>
  <c r="J36" i="1" a="1"/>
  <c r="AZ36" i="1" a="1"/>
  <c r="DT49" i="1" a="1"/>
  <c r="EK20" i="1" a="1"/>
  <c r="EF20" i="1" a="1"/>
  <c r="DT36" i="1" a="1"/>
  <c r="AB36" i="1" a="1"/>
  <c r="AL20" i="1" a="1"/>
  <c r="CT36" i="1" a="1"/>
  <c r="DB20" i="1" a="1"/>
  <c r="DG36" i="1" a="1"/>
  <c r="CW36" i="1" a="1"/>
  <c r="AD49" i="1" a="1"/>
  <c r="CO49" i="1" a="1"/>
  <c r="CI36" i="1" a="1"/>
  <c r="X36" i="1" a="1"/>
  <c r="S36" i="1" a="1"/>
  <c r="Y49" i="1" a="1"/>
  <c r="BE49" i="1" a="1"/>
  <c r="G20" i="1" a="1"/>
  <c r="AC20" i="1" a="1"/>
  <c r="AZ49" i="1" a="1"/>
  <c r="EK36" i="1" a="1"/>
  <c r="EE36" i="1" a="1"/>
  <c r="CQ20" i="1" a="1"/>
  <c r="X49" i="1" a="1"/>
  <c r="BF20" i="1" a="1"/>
  <c r="DP49" i="1" a="1"/>
  <c r="CE36" i="1" a="1"/>
  <c r="P49" i="1" a="1"/>
  <c r="DM36" i="1" a="1"/>
  <c r="AE36" i="1" a="1"/>
  <c r="F36" i="1" a="1"/>
  <c r="CZ49" i="1" a="1"/>
  <c r="CY49" i="1" a="1"/>
  <c r="BB36" i="1" a="1"/>
  <c r="CQ49" i="1" a="1"/>
  <c r="BT49" i="1" a="1"/>
  <c r="DI20" i="1" a="1"/>
  <c r="W20" i="1" a="1"/>
  <c r="CF20" i="1" a="1"/>
  <c r="BL20" i="1" a="1"/>
  <c r="J49" i="1" a="1"/>
  <c r="CZ20" i="1" a="1"/>
  <c r="EC20" i="1" a="1"/>
  <c r="BU49" i="1" a="1"/>
  <c r="AX49" i="1" a="1"/>
  <c r="BZ49" i="1" a="1"/>
  <c r="EF49" i="1" a="1"/>
  <c r="DV36" i="1" a="1"/>
  <c r="AA20" i="1" a="1"/>
  <c r="AH49" i="1" a="1"/>
  <c r="DY20" i="1" a="1"/>
  <c r="DE36" i="1" a="1"/>
  <c r="CI49" i="1" a="1"/>
  <c r="AD20" i="1" a="1"/>
  <c r="AL49" i="1" a="1"/>
  <c r="DW49" i="1" a="1"/>
  <c r="CE20" i="1" a="1"/>
  <c r="EM20" i="1" a="1"/>
  <c r="DD20" i="1" a="1"/>
  <c r="U49" i="1" a="1"/>
  <c r="CL20" i="1" a="1"/>
  <c r="L36" i="1" a="1"/>
  <c r="BX20" i="1" a="1"/>
  <c r="DV20" i="1" a="1"/>
  <c r="EI20" i="1" a="1"/>
  <c r="DX20" i="1" a="1"/>
  <c r="CW49" i="1" a="1"/>
  <c r="EF36" i="1" a="1"/>
  <c r="I49" i="1" a="1"/>
  <c r="DE20" i="1" a="1"/>
  <c r="DF36" i="1" a="1"/>
  <c r="BM20" i="1" a="1"/>
  <c r="AU49" i="1" a="1"/>
  <c r="DU36" i="1" a="1"/>
  <c r="CM49" i="1" a="1"/>
  <c r="AL36" i="1" a="1"/>
  <c r="BF36" i="1" a="1"/>
  <c r="K20" i="1" a="1"/>
  <c r="CB20" i="1" a="1"/>
  <c r="DC36" i="1" a="1"/>
  <c r="V20" i="1" a="1"/>
  <c r="EI36" i="1" a="1"/>
  <c r="CQ36" i="1" a="1"/>
  <c r="N49" i="1" a="1"/>
  <c r="BD49" i="1" a="1"/>
  <c r="BE36" i="1" a="1"/>
  <c r="EE20" i="1" a="1"/>
  <c r="DF20" i="1" a="1"/>
  <c r="CA49" i="1" a="1"/>
  <c r="AI20" i="1" a="1"/>
  <c r="ED36" i="1" a="1"/>
  <c r="BN36" i="1" a="1"/>
  <c r="CY36" i="1" a="1"/>
  <c r="BJ49" i="1" a="1"/>
  <c r="DA36" i="1" a="1"/>
  <c r="BY36" i="1" a="1"/>
  <c r="Q49" i="1" a="1"/>
  <c r="DB36" i="1" a="1"/>
  <c r="CT20" i="1" a="1"/>
  <c r="DJ36" i="1" a="1"/>
  <c r="CO20" i="1" a="1"/>
  <c r="DO49" i="1" a="1"/>
  <c r="DD49" i="1" a="1"/>
  <c r="AC49" i="1" a="1"/>
  <c r="DO20" i="1" a="1"/>
  <c r="G36" i="1" a="1"/>
  <c r="AS20" i="1" a="1"/>
  <c r="CU49" i="1" a="1"/>
  <c r="DJ20" i="1" a="1"/>
  <c r="AW49" i="1" a="1"/>
  <c r="AG20" i="1" a="1"/>
  <c r="W49" i="1" a="1"/>
  <c r="AS36" i="1" a="1"/>
  <c r="BS36" i="1" a="1"/>
  <c r="EH20" i="1" a="1"/>
  <c r="BU36" i="1" a="1"/>
  <c r="U36" i="1" a="1"/>
  <c r="BL36" i="1" a="1"/>
  <c r="AR49" i="1" a="1"/>
  <c r="DK36" i="1" a="1"/>
  <c r="BX49" i="1" a="1"/>
  <c r="BP20" i="1" a="1"/>
  <c r="Q36" i="1" a="1"/>
  <c r="CH36" i="1" a="1"/>
  <c r="BD20" i="1" a="1"/>
  <c r="CC49" i="1" a="1"/>
  <c r="DO36" i="1" a="1"/>
  <c r="O49" i="1" a="1"/>
  <c r="CD36" i="1" a="1"/>
  <c r="CM20" i="1" a="1"/>
  <c r="K15" i="3" l="1" a="1"/>
  <c r="K15" i="3" s="1"/>
  <c r="E10" i="6"/>
  <c r="F35" i="3"/>
  <c r="D15" i="3"/>
  <c r="I15" i="3" s="1" a="1"/>
  <c r="I15" i="3" s="1"/>
  <c r="F15" i="3"/>
  <c r="F25" i="3"/>
  <c r="M32" i="3" a="1"/>
  <c r="M32" i="3" s="1"/>
  <c r="S19" i="3"/>
  <c r="P19" i="3"/>
  <c r="N19" i="3" a="1"/>
  <c r="N19" i="3" s="1"/>
  <c r="U19" i="3"/>
  <c r="T19" i="3"/>
  <c r="O19" i="3"/>
  <c r="R19" i="3"/>
  <c r="M19" i="3" a="1"/>
  <c r="M19" i="3" s="1"/>
  <c r="X19" i="3"/>
  <c r="W19" i="3"/>
  <c r="V19" i="3"/>
  <c r="Q19" i="3"/>
  <c r="O41" i="3"/>
  <c r="W41" i="3"/>
  <c r="R41" i="3"/>
  <c r="X41" i="3"/>
  <c r="T41" i="3"/>
  <c r="S41" i="3"/>
  <c r="M41" i="3" a="1"/>
  <c r="M41" i="3" s="1"/>
  <c r="U42" i="3"/>
  <c r="R42" i="3"/>
  <c r="O42" i="3"/>
  <c r="X42" i="3"/>
  <c r="W42" i="3"/>
  <c r="T42" i="3"/>
  <c r="S42" i="3"/>
  <c r="M42" i="3" a="1"/>
  <c r="M42" i="3" s="1"/>
  <c r="O29" i="3"/>
  <c r="V41" i="3"/>
  <c r="D45" i="3"/>
  <c r="I45" i="3" s="1" a="1"/>
  <c r="I45" i="3" s="1"/>
  <c r="F45" i="3"/>
  <c r="K45" i="3" a="1"/>
  <c r="K45" i="3" s="1"/>
  <c r="F24" i="3"/>
  <c r="D44" i="3"/>
  <c r="I44" i="3" s="1" a="1"/>
  <c r="I44" i="3" s="1"/>
  <c r="F44" i="3"/>
  <c r="L44" i="3" a="1"/>
  <c r="L44" i="3" s="1"/>
  <c r="K44" i="3" a="1"/>
  <c r="K44" i="3" s="1"/>
  <c r="O37" i="3"/>
  <c r="N37" i="3" a="1"/>
  <c r="N37" i="3" s="1"/>
  <c r="T37" i="3"/>
  <c r="Q37" i="3"/>
  <c r="S37" i="3"/>
  <c r="R37" i="3"/>
  <c r="M37" i="3" a="1"/>
  <c r="M37" i="3" s="1"/>
  <c r="V37" i="3"/>
  <c r="U37" i="3"/>
  <c r="X37" i="3"/>
  <c r="P37" i="3"/>
  <c r="N43" i="3" a="1"/>
  <c r="N43" i="3" s="1"/>
  <c r="U41" i="3"/>
  <c r="T48" i="3"/>
  <c r="Q48" i="3"/>
  <c r="V48" i="3"/>
  <c r="S48" i="3"/>
  <c r="P48" i="3"/>
  <c r="M48" i="3" a="1"/>
  <c r="M48" i="3" s="1"/>
  <c r="N48" i="3" a="1"/>
  <c r="N48" i="3" s="1"/>
  <c r="R48" i="3"/>
  <c r="W48" i="3"/>
  <c r="X48" i="3"/>
  <c r="Q42" i="3"/>
  <c r="S47" i="3"/>
  <c r="P47" i="3"/>
  <c r="M47" i="3" a="1"/>
  <c r="M47" i="3" s="1"/>
  <c r="N47" i="3" a="1"/>
  <c r="N47" i="3" s="1"/>
  <c r="V47" i="3"/>
  <c r="Q47" i="3"/>
  <c r="R47" i="3"/>
  <c r="W47" i="3"/>
  <c r="O47" i="3"/>
  <c r="X47" i="3"/>
  <c r="F33" i="3"/>
  <c r="D40" i="3"/>
  <c r="I40" i="3" s="1" a="1"/>
  <c r="I40" i="3" s="1"/>
  <c r="F40" i="3"/>
  <c r="K40" i="3" a="1"/>
  <c r="K40" i="3" s="1"/>
  <c r="L40" i="3" a="1"/>
  <c r="L40" i="3" s="1"/>
  <c r="T47" i="3"/>
  <c r="AD13" i="3"/>
  <c r="AC13" i="3"/>
  <c r="AA13" i="3"/>
  <c r="Z13" i="3"/>
  <c r="AB13" i="3"/>
  <c r="F17" i="3"/>
  <c r="L45" i="3" a="1"/>
  <c r="L45" i="3" s="1"/>
  <c r="F26" i="3"/>
  <c r="S43" i="3"/>
  <c r="P43" i="3"/>
  <c r="X43" i="3"/>
  <c r="U43" i="3"/>
  <c r="R43" i="3"/>
  <c r="M43" i="3" a="1"/>
  <c r="M43" i="3" s="1"/>
  <c r="W43" i="3"/>
  <c r="O43" i="3"/>
  <c r="T43" i="3"/>
  <c r="D32" i="3"/>
  <c r="I32" i="3" s="1" a="1"/>
  <c r="I32" i="3" s="1"/>
  <c r="Q41" i="3"/>
  <c r="V43" i="3"/>
  <c r="W29" i="3"/>
  <c r="V29" i="3"/>
  <c r="M29" i="3" a="1"/>
  <c r="M29" i="3" s="1"/>
  <c r="Q29" i="3"/>
  <c r="P29" i="3"/>
  <c r="U29" i="3"/>
  <c r="V42" i="3"/>
  <c r="T29" i="3"/>
  <c r="N29" i="3" a="1"/>
  <c r="N29" i="3" s="1"/>
  <c r="F14" i="3"/>
  <c r="F23" i="3"/>
  <c r="L43" i="3" a="1"/>
  <c r="L43" i="3" s="1"/>
  <c r="D43" i="3"/>
  <c r="I43" i="3" s="1" a="1"/>
  <c r="I43" i="3" s="1"/>
  <c r="K43" i="3" a="1"/>
  <c r="K43" i="3" s="1"/>
  <c r="O48" i="3"/>
  <c r="N42" i="3" a="1"/>
  <c r="N42" i="3" s="1"/>
  <c r="AC38" i="3"/>
  <c r="Y38" i="3"/>
  <c r="K38" i="3" a="1"/>
  <c r="K38" i="3" s="1"/>
  <c r="AD38" i="3"/>
  <c r="Z38" i="3"/>
  <c r="AA38" i="3"/>
  <c r="N41" i="3" a="1"/>
  <c r="N41" i="3" s="1"/>
  <c r="F49" i="3"/>
  <c r="D49" i="3"/>
  <c r="I49" i="3" s="1" a="1"/>
  <c r="I49" i="3" s="1"/>
  <c r="AD19" i="3"/>
  <c r="AB19" i="3"/>
  <c r="AA19" i="3"/>
  <c r="Z19" i="3"/>
  <c r="F16" i="3"/>
  <c r="D46" i="3"/>
  <c r="I46" i="3" s="1" a="1"/>
  <c r="I46" i="3" s="1"/>
  <c r="F46" i="3"/>
  <c r="K46" i="3" a="1"/>
  <c r="K46" i="3" s="1"/>
  <c r="P42" i="3"/>
  <c r="AB38" i="3"/>
  <c r="K13" i="3" a="1"/>
  <c r="K13" i="3" s="1"/>
  <c r="AB47" i="3"/>
  <c r="AA47" i="3"/>
  <c r="Z47" i="3"/>
  <c r="Y43" i="3"/>
  <c r="AC47" i="3"/>
  <c r="L31" i="3" a="1"/>
  <c r="L31" i="3" s="1"/>
  <c r="AD30" i="3"/>
  <c r="AC30" i="3"/>
  <c r="AB30" i="3"/>
  <c r="AA30" i="3"/>
  <c r="F31" i="3"/>
  <c r="AA31" i="3"/>
  <c r="F50" i="3"/>
  <c r="F13" i="3"/>
  <c r="F30" i="3"/>
  <c r="L30" i="3" a="1"/>
  <c r="L30" i="3" s="1"/>
  <c r="Y42" i="3"/>
  <c r="AC46" i="3"/>
  <c r="K30" i="3" a="1"/>
  <c r="K30" i="3" s="1"/>
  <c r="D47" i="3"/>
  <c r="I47" i="3" s="1" a="1"/>
  <c r="I47" i="3" s="1"/>
  <c r="D19" i="3"/>
  <c r="I19" i="3" s="1" a="1"/>
  <c r="I19" i="3" s="1"/>
  <c r="O18" i="3"/>
  <c r="Y41" i="3"/>
  <c r="AC45" i="3"/>
  <c r="AD43" i="3"/>
  <c r="AC31" i="3"/>
  <c r="AB31" i="3"/>
  <c r="D41" i="3"/>
  <c r="I41" i="3" s="1" a="1"/>
  <c r="I41" i="3" s="1"/>
  <c r="L41" i="3" a="1"/>
  <c r="L41" i="3" s="1"/>
  <c r="K41" i="3" a="1"/>
  <c r="K41" i="3" s="1"/>
  <c r="K42" i="3" a="1"/>
  <c r="K42" i="3" s="1"/>
  <c r="Z30" i="3"/>
  <c r="K39" i="3" a="1"/>
  <c r="K39" i="3" s="1"/>
  <c r="F39" i="3"/>
  <c r="K19" i="3" a="1"/>
  <c r="K19" i="3" s="1"/>
  <c r="D42" i="3"/>
  <c r="I42" i="3" s="1" a="1"/>
  <c r="I42" i="3" s="1"/>
  <c r="AB46" i="3"/>
  <c r="L38" i="3" a="1"/>
  <c r="L38" i="3" s="1"/>
  <c r="F38" i="3"/>
  <c r="S18" i="3"/>
  <c r="P18" i="3"/>
  <c r="N18" i="3" a="1"/>
  <c r="N18" i="3" s="1"/>
  <c r="M18" i="3" a="1"/>
  <c r="M18" i="3" s="1"/>
  <c r="V18" i="3"/>
  <c r="D38" i="3"/>
  <c r="I38" i="3" s="1" a="1"/>
  <c r="I38" i="3" s="1"/>
  <c r="K18" i="3" a="1"/>
  <c r="K18" i="3" s="1"/>
  <c r="Y30" i="3"/>
  <c r="AC41" i="3"/>
  <c r="F22" i="3"/>
  <c r="AC43" i="3"/>
  <c r="D39" i="3"/>
  <c r="I39" i="3" s="1" a="1"/>
  <c r="I39" i="3" s="1"/>
  <c r="K31" i="3" a="1"/>
  <c r="K31" i="3" s="1"/>
  <c r="AB45" i="3"/>
  <c r="AD31" i="3"/>
  <c r="L13" i="3" a="1"/>
  <c r="L13" i="3" s="1"/>
  <c r="AB43" i="3"/>
  <c r="AC40" i="3"/>
  <c r="Z48" i="3"/>
  <c r="Y50" i="3"/>
  <c r="Y48" i="3"/>
  <c r="L14" i="3" a="1"/>
  <c r="L14" i="3" s="1"/>
  <c r="L26" i="3" a="1"/>
  <c r="L26" i="3" s="1"/>
  <c r="L27" i="3" a="1"/>
  <c r="L27" i="3" s="1"/>
  <c r="L23" i="3" a="1"/>
  <c r="L23" i="3" s="1"/>
  <c r="L22" i="3" a="1"/>
  <c r="L22" i="3" s="1"/>
  <c r="L21" i="3" a="1"/>
  <c r="L21" i="3" s="1"/>
  <c r="L36" i="3" a="1"/>
  <c r="L36" i="3" s="1"/>
  <c r="L20" i="3" a="1"/>
  <c r="L20" i="3" s="1"/>
  <c r="L35" i="3" a="1"/>
  <c r="L35" i="3" s="1"/>
  <c r="L32" i="3" a="1"/>
  <c r="L32" i="3" s="1"/>
  <c r="L28" i="3" a="1"/>
  <c r="L28" i="3" s="1"/>
  <c r="L16" i="3" a="1"/>
  <c r="L16" i="3" s="1"/>
  <c r="L34" i="3" a="1"/>
  <c r="L34" i="3" s="1"/>
  <c r="L25" i="3" a="1"/>
  <c r="L25" i="3" s="1"/>
  <c r="L33" i="3" a="1"/>
  <c r="L33" i="3" s="1"/>
  <c r="L24" i="3" a="1"/>
  <c r="L24" i="3" s="1"/>
  <c r="L15" i="3" a="1"/>
  <c r="L15" i="3" s="1"/>
  <c r="E13" i="6"/>
  <c r="E14" i="6" s="1"/>
  <c r="C14" i="3" a="1"/>
  <c r="C14" i="3" s="1"/>
  <c r="C15" i="3" s="1" a="1"/>
  <c r="C15" i="3" s="1"/>
  <c r="C16" i="3" s="1" a="1"/>
  <c r="C16" i="3" s="1"/>
  <c r="C17" i="3" s="1" a="1"/>
  <c r="C17" i="3" s="1"/>
  <c r="C18" i="3" s="1" a="1"/>
  <c r="C18" i="3" s="1"/>
  <c r="C19" i="3" s="1" a="1"/>
  <c r="C19" i="3" s="1"/>
  <c r="C20" i="3" s="1" a="1"/>
  <c r="C20" i="3" s="1"/>
  <c r="C21" i="3" s="1" a="1"/>
  <c r="C21" i="3" s="1"/>
  <c r="C22" i="3" s="1" a="1"/>
  <c r="C22" i="3" s="1"/>
  <c r="C23" i="3" s="1" a="1"/>
  <c r="C23" i="3" s="1"/>
  <c r="C24" i="3" s="1" a="1"/>
  <c r="C24" i="3" s="1"/>
  <c r="C25" i="3" s="1" a="1"/>
  <c r="C25" i="3" s="1"/>
  <c r="C26" i="3" s="1" a="1"/>
  <c r="C26" i="3" s="1"/>
  <c r="C27" i="3" s="1" a="1"/>
  <c r="C27" i="3" s="1"/>
  <c r="C28" i="3" s="1" a="1"/>
  <c r="C28" i="3" s="1"/>
  <c r="C29" i="3" s="1" a="1"/>
  <c r="C29" i="3" s="1"/>
  <c r="C30" i="3" s="1" a="1"/>
  <c r="C30" i="3" s="1"/>
  <c r="C31" i="3" s="1" a="1"/>
  <c r="C31" i="3" s="1"/>
  <c r="C32" i="3" s="1" a="1"/>
  <c r="C32" i="3" s="1"/>
  <c r="C33" i="3" s="1" a="1"/>
  <c r="C33" i="3" s="1"/>
  <c r="C34" i="3" s="1" a="1"/>
  <c r="C34" i="3" s="1"/>
  <c r="C35" i="3" s="1" a="1"/>
  <c r="C35" i="3" s="1"/>
  <c r="C36" i="3" s="1" a="1"/>
  <c r="C36" i="3" s="1"/>
  <c r="C37" i="3" s="1" a="1"/>
  <c r="C37" i="3" s="1"/>
  <c r="C38" i="3" s="1" a="1"/>
  <c r="C38" i="3" s="1"/>
  <c r="C39" i="3" s="1" a="1"/>
  <c r="C39" i="3" s="1"/>
  <c r="C40" i="3" s="1" a="1"/>
  <c r="C40" i="3" s="1"/>
  <c r="C41" i="3" s="1" a="1"/>
  <c r="C41" i="3" s="1"/>
  <c r="C42" i="3" s="1" a="1"/>
  <c r="C42" i="3" s="1"/>
  <c r="C43" i="3" s="1" a="1"/>
  <c r="C43" i="3" s="1"/>
  <c r="C44" i="3" s="1" a="1"/>
  <c r="C44" i="3" s="1"/>
  <c r="C45" i="3" s="1" a="1"/>
  <c r="C45" i="3" s="1"/>
  <c r="C46" i="3" s="1" a="1"/>
  <c r="C46" i="3" s="1"/>
  <c r="C47" i="3" s="1" a="1"/>
  <c r="C47" i="3" s="1"/>
  <c r="C48" i="3" s="1" a="1"/>
  <c r="C48" i="3" s="1"/>
  <c r="C49" i="3" s="1" a="1"/>
  <c r="C49" i="3" s="1"/>
  <c r="C50" i="3" s="1" a="1"/>
  <c r="C50" i="3" s="1"/>
  <c r="E21" i="6"/>
  <c r="Y11" i="3" s="1"/>
  <c r="AG5" i="1"/>
  <c r="DO49" i="1"/>
  <c r="CO20" i="1"/>
  <c r="BU49" i="1"/>
  <c r="ED36" i="1"/>
  <c r="EI20" i="1"/>
  <c r="DN49" i="1"/>
  <c r="AH20" i="1"/>
  <c r="DE49" i="1"/>
  <c r="CI36" i="1"/>
  <c r="CH20" i="1"/>
  <c r="DW36" i="1"/>
  <c r="AG20" i="1"/>
  <c r="BK49" i="1"/>
  <c r="AH36" i="1"/>
  <c r="CG20" i="1"/>
  <c r="BJ49" i="1"/>
  <c r="CA36" i="1"/>
  <c r="CF20" i="1"/>
  <c r="DS36" i="1"/>
  <c r="BI49" i="1"/>
  <c r="DY20" i="1"/>
  <c r="BS20" i="1"/>
  <c r="BG49" i="1"/>
  <c r="DK36" i="1"/>
  <c r="CU49" i="1"/>
  <c r="BE49" i="1"/>
  <c r="BQ36" i="1"/>
  <c r="DP20" i="1"/>
  <c r="BR20" i="1"/>
  <c r="AQ36" i="1"/>
  <c r="CK36" i="1"/>
  <c r="AK20" i="1"/>
  <c r="AP36" i="1"/>
  <c r="CN20" i="1"/>
  <c r="BT49" i="1"/>
  <c r="EH20" i="1"/>
  <c r="AM36" i="1"/>
  <c r="DD49" i="1"/>
  <c r="CD36" i="1"/>
  <c r="DT36" i="1"/>
  <c r="EB20" i="1"/>
  <c r="DC49" i="1"/>
  <c r="AG36" i="1"/>
  <c r="EA20" i="1"/>
  <c r="DB49" i="1"/>
  <c r="BZ36" i="1"/>
  <c r="BB49" i="1"/>
  <c r="DJ36" i="1"/>
  <c r="EM49" i="1"/>
  <c r="CT49" i="1"/>
  <c r="BP36" i="1"/>
  <c r="DO20" i="1"/>
  <c r="BQ20" i="1"/>
  <c r="BY49" i="1"/>
  <c r="DR49" i="1"/>
  <c r="CI49" i="1"/>
  <c r="DA20" i="1"/>
  <c r="EG36" i="1"/>
  <c r="EC49" i="1"/>
  <c r="AK49" i="1"/>
  <c r="AR36" i="1"/>
  <c r="CP20" i="1"/>
  <c r="BW49" i="1"/>
  <c r="CL36" i="1"/>
  <c r="EL20" i="1"/>
  <c r="AQ20" i="1"/>
  <c r="BA49" i="1"/>
  <c r="DI36" i="1"/>
  <c r="ED49" i="1"/>
  <c r="CS49" i="1"/>
  <c r="DK20" i="1"/>
  <c r="BI20" i="1"/>
  <c r="AV49" i="1"/>
  <c r="DD36" i="1"/>
  <c r="BK36" i="1"/>
  <c r="DA36" i="1"/>
  <c r="DE20" i="1"/>
  <c r="BG20" i="1"/>
  <c r="AU49" i="1"/>
  <c r="EB49" i="1"/>
  <c r="AN49" i="1"/>
  <c r="CZ36" i="1"/>
  <c r="BD36" i="1"/>
  <c r="DD20" i="1"/>
  <c r="BF20" i="1"/>
  <c r="CF49" i="1"/>
  <c r="DB20" i="1"/>
  <c r="EA49" i="1"/>
  <c r="AM49" i="1"/>
  <c r="CY36" i="1"/>
  <c r="BC36" i="1"/>
  <c r="DX49" i="1"/>
  <c r="CE49" i="1"/>
  <c r="AV20" i="1"/>
  <c r="DS49" i="1"/>
  <c r="AL49" i="1"/>
  <c r="EH36" i="1"/>
  <c r="BB36" i="1"/>
  <c r="CS20" i="1"/>
  <c r="CD49" i="1"/>
  <c r="CM36" i="1"/>
  <c r="AR20" i="1"/>
  <c r="BY36" i="1"/>
  <c r="CA20" i="1"/>
  <c r="BE20" i="1"/>
  <c r="CP49" i="1"/>
  <c r="DR36" i="1"/>
  <c r="DX20" i="1"/>
  <c r="CZ20" i="1"/>
  <c r="DM49" i="1"/>
  <c r="CN49" i="1"/>
  <c r="AS49" i="1"/>
  <c r="BU36" i="1"/>
  <c r="BZ20" i="1"/>
  <c r="BB20" i="1"/>
  <c r="EI49" i="1"/>
  <c r="BR49" i="1"/>
  <c r="DQ36" i="1"/>
  <c r="CT36" i="1"/>
  <c r="AZ36" i="1"/>
  <c r="DW20" i="1"/>
  <c r="CY20" i="1"/>
  <c r="DK49" i="1"/>
  <c r="CM49" i="1"/>
  <c r="AR49" i="1"/>
  <c r="EM36" i="1"/>
  <c r="BT36" i="1"/>
  <c r="DS20" i="1"/>
  <c r="BY20" i="1"/>
  <c r="BA20" i="1"/>
  <c r="EL49" i="1"/>
  <c r="BS49" i="1"/>
  <c r="CU36" i="1"/>
  <c r="BA36" i="1"/>
  <c r="EF49" i="1"/>
  <c r="BO49" i="1"/>
  <c r="DP36" i="1"/>
  <c r="CS36" i="1"/>
  <c r="AW36" i="1"/>
  <c r="CW20" i="1"/>
  <c r="DJ49" i="1"/>
  <c r="CL49" i="1"/>
  <c r="AQ49" i="1"/>
  <c r="EL36" i="1"/>
  <c r="BS36" i="1"/>
  <c r="DR20" i="1"/>
  <c r="BX20" i="1"/>
  <c r="AZ20" i="1"/>
  <c r="EE49" i="1"/>
  <c r="BL49" i="1"/>
  <c r="CP36" i="1"/>
  <c r="CT20" i="1"/>
  <c r="DI49" i="1"/>
  <c r="CK49" i="1"/>
  <c r="AP49" i="1"/>
  <c r="EI36" i="1"/>
  <c r="DM36" i="1"/>
  <c r="BR36" i="1"/>
  <c r="AS36" i="1"/>
  <c r="DQ20" i="1"/>
  <c r="BW20" i="1"/>
  <c r="AW20" i="1"/>
  <c r="DA49" i="1"/>
  <c r="CM20" i="1"/>
  <c r="DC36" i="1"/>
  <c r="CW49" i="1"/>
  <c r="BI36" i="1"/>
  <c r="EF20" i="1"/>
  <c r="CA49" i="1"/>
  <c r="DJ20" i="1"/>
  <c r="BP20" i="1"/>
  <c r="AP20" i="1"/>
  <c r="AH49" i="1"/>
  <c r="EC36" i="1"/>
  <c r="CH36" i="1"/>
  <c r="BJ36" i="1"/>
  <c r="EG20" i="1"/>
  <c r="DW49" i="1"/>
  <c r="BD49" i="1"/>
  <c r="AL36" i="1"/>
  <c r="DI20" i="1"/>
  <c r="CK20" i="1"/>
  <c r="BO20" i="1"/>
  <c r="AO20" i="1"/>
  <c r="EB36" i="1"/>
  <c r="CG36" i="1"/>
  <c r="DT49" i="1"/>
  <c r="BZ49" i="1"/>
  <c r="BC49" i="1"/>
  <c r="DB36" i="1"/>
  <c r="AK36" i="1"/>
  <c r="DH20" i="1"/>
  <c r="CI20" i="1"/>
  <c r="BJ20" i="1"/>
  <c r="AN20" i="1"/>
  <c r="CV49" i="1"/>
  <c r="EA36" i="1"/>
  <c r="BG36" i="1"/>
  <c r="EC20" i="1"/>
  <c r="BU20" i="1"/>
  <c r="BD20" i="1"/>
  <c r="AM20" i="1"/>
  <c r="EF36" i="1"/>
  <c r="DO36" i="1"/>
  <c r="CW36" i="1"/>
  <c r="CF36" i="1"/>
  <c r="BO36" i="1"/>
  <c r="AV36" i="1"/>
  <c r="DY49" i="1"/>
  <c r="DH49" i="1"/>
  <c r="CO49" i="1"/>
  <c r="BX49" i="1"/>
  <c r="BF49" i="1"/>
  <c r="AO49" i="1"/>
  <c r="EM20" i="1"/>
  <c r="DT20" i="1"/>
  <c r="DC20" i="1"/>
  <c r="CL20" i="1"/>
  <c r="BT20" i="1"/>
  <c r="BC20" i="1"/>
  <c r="AL20" i="1"/>
  <c r="EE36" i="1"/>
  <c r="DN36" i="1"/>
  <c r="CV36" i="1"/>
  <c r="CE36" i="1"/>
  <c r="BL36" i="1"/>
  <c r="AU36" i="1"/>
  <c r="AO36" i="1"/>
  <c r="DQ49" i="1"/>
  <c r="BQ49" i="1"/>
  <c r="AG49" i="1"/>
  <c r="DN20" i="1"/>
  <c r="CV20" i="1"/>
  <c r="CE20" i="1"/>
  <c r="BL20" i="1"/>
  <c r="AU20" i="1"/>
  <c r="DH36" i="1"/>
  <c r="BE36" i="1"/>
  <c r="DY36" i="1"/>
  <c r="CO36" i="1"/>
  <c r="BX36" i="1"/>
  <c r="BF36" i="1"/>
  <c r="EH49" i="1"/>
  <c r="CZ49" i="1"/>
  <c r="CH49" i="1"/>
  <c r="AZ49" i="1"/>
  <c r="EE20" i="1"/>
  <c r="DX36" i="1"/>
  <c r="DE36" i="1"/>
  <c r="CN36" i="1"/>
  <c r="BW36" i="1"/>
  <c r="AN36" i="1"/>
  <c r="EG49" i="1"/>
  <c r="DP49" i="1"/>
  <c r="CY49" i="1"/>
  <c r="CG49" i="1"/>
  <c r="BP49" i="1"/>
  <c r="AW49" i="1"/>
  <c r="ED20" i="1"/>
  <c r="DM20" i="1"/>
  <c r="CU20" i="1"/>
  <c r="CD20" i="1"/>
  <c r="BK20" i="1"/>
  <c r="AS20" i="1"/>
  <c r="EK49" i="1"/>
  <c r="DV49" i="1"/>
  <c r="DG49" i="1"/>
  <c r="CR49" i="1"/>
  <c r="CC49" i="1"/>
  <c r="BN49" i="1"/>
  <c r="AY49" i="1"/>
  <c r="AJ49" i="1"/>
  <c r="EK36" i="1"/>
  <c r="DV36" i="1"/>
  <c r="DG36" i="1"/>
  <c r="CR36" i="1"/>
  <c r="CC36" i="1"/>
  <c r="BN36" i="1"/>
  <c r="AY36" i="1"/>
  <c r="AJ36" i="1"/>
  <c r="EK20" i="1"/>
  <c r="DV20" i="1"/>
  <c r="DG20" i="1"/>
  <c r="CR20" i="1"/>
  <c r="CC20" i="1"/>
  <c r="BN20" i="1"/>
  <c r="AY20" i="1"/>
  <c r="AJ20" i="1"/>
  <c r="EJ49" i="1"/>
  <c r="DU49" i="1"/>
  <c r="DF49" i="1"/>
  <c r="CQ49" i="1"/>
  <c r="CB49" i="1"/>
  <c r="BM49" i="1"/>
  <c r="AX49" i="1"/>
  <c r="AI49" i="1"/>
  <c r="EJ36" i="1"/>
  <c r="DU36" i="1"/>
  <c r="DF36" i="1"/>
  <c r="CQ36" i="1"/>
  <c r="CB36" i="1"/>
  <c r="BM36" i="1"/>
  <c r="AX36" i="1"/>
  <c r="AI36" i="1"/>
  <c r="EJ20" i="1"/>
  <c r="DU20" i="1"/>
  <c r="DF20" i="1"/>
  <c r="CQ20" i="1"/>
  <c r="CB20" i="1"/>
  <c r="BM20" i="1"/>
  <c r="AX20" i="1"/>
  <c r="AI20" i="1"/>
  <c r="E38" i="1"/>
  <c r="F38" i="1"/>
  <c r="G38" i="1"/>
  <c r="H38" i="1"/>
  <c r="I38" i="1"/>
  <c r="J38" i="1"/>
  <c r="K38" i="1"/>
  <c r="Q9" i="1"/>
  <c r="L38" i="1"/>
  <c r="M38" i="1"/>
  <c r="N38" i="1"/>
  <c r="O38" i="1"/>
  <c r="P38" i="1"/>
  <c r="Q38" i="1"/>
  <c r="AB49" i="1"/>
  <c r="AA49" i="1"/>
  <c r="W36" i="1"/>
  <c r="S20" i="1"/>
  <c r="Y49" i="1"/>
  <c r="X49" i="1"/>
  <c r="AE20" i="1"/>
  <c r="T36" i="1"/>
  <c r="W49" i="1"/>
  <c r="AD20" i="1"/>
  <c r="V20" i="1"/>
  <c r="U20" i="1"/>
  <c r="X36" i="1"/>
  <c r="Z49" i="1"/>
  <c r="V36" i="1"/>
  <c r="U36" i="1"/>
  <c r="S36" i="1"/>
  <c r="V49" i="1"/>
  <c r="AC20" i="1"/>
  <c r="U49" i="1"/>
  <c r="AB20" i="1"/>
  <c r="AE36" i="1"/>
  <c r="T49" i="1"/>
  <c r="AA20" i="1"/>
  <c r="AD36" i="1"/>
  <c r="S49" i="1"/>
  <c r="Z20" i="1"/>
  <c r="AC36" i="1"/>
  <c r="Y20" i="1"/>
  <c r="AB36" i="1"/>
  <c r="AE49" i="1"/>
  <c r="X20" i="1"/>
  <c r="AA36" i="1"/>
  <c r="AD49" i="1"/>
  <c r="W20" i="1"/>
  <c r="AC49" i="1"/>
  <c r="Y36" i="1"/>
  <c r="T20" i="1"/>
  <c r="Z36" i="1"/>
  <c r="Z22" i="1"/>
  <c r="AE38" i="1"/>
  <c r="AA38" i="1"/>
  <c r="S22" i="1"/>
  <c r="Y38" i="1"/>
  <c r="X38" i="1"/>
  <c r="W38" i="1"/>
  <c r="V38" i="1"/>
  <c r="T9" i="1"/>
  <c r="X22" i="1"/>
  <c r="AD38" i="1"/>
  <c r="W22" i="1"/>
  <c r="AC38" i="1"/>
  <c r="V22" i="1"/>
  <c r="AB38" i="1"/>
  <c r="U22" i="1"/>
  <c r="T22" i="1"/>
  <c r="Z38" i="1"/>
  <c r="U38" i="1"/>
  <c r="T38" i="1"/>
  <c r="S38" i="1"/>
  <c r="AE9" i="1"/>
  <c r="AD9" i="1"/>
  <c r="AC9" i="1"/>
  <c r="AB9" i="1"/>
  <c r="AA9" i="1"/>
  <c r="Z9" i="1"/>
  <c r="Y9" i="1"/>
  <c r="AE22" i="1"/>
  <c r="X9" i="1"/>
  <c r="AD22" i="1"/>
  <c r="W9" i="1"/>
  <c r="AC22" i="1"/>
  <c r="V9" i="1"/>
  <c r="AA22" i="1"/>
  <c r="S9" i="1"/>
  <c r="Y22" i="1"/>
  <c r="AB22" i="1"/>
  <c r="F49" i="1"/>
  <c r="Q49" i="1"/>
  <c r="P49" i="1"/>
  <c r="O49" i="1"/>
  <c r="N49" i="1"/>
  <c r="M49" i="1"/>
  <c r="L49" i="1"/>
  <c r="K49" i="1"/>
  <c r="J49" i="1"/>
  <c r="I49" i="1"/>
  <c r="H49" i="1"/>
  <c r="G49" i="1"/>
  <c r="E49" i="1"/>
  <c r="L36" i="1"/>
  <c r="K36" i="1"/>
  <c r="J36" i="1"/>
  <c r="I36" i="1"/>
  <c r="H36" i="1"/>
  <c r="F36" i="1"/>
  <c r="Q36" i="1"/>
  <c r="P36" i="1"/>
  <c r="O36" i="1"/>
  <c r="N36" i="1"/>
  <c r="M36" i="1"/>
  <c r="G36" i="1"/>
  <c r="E36" i="1"/>
  <c r="E22" i="1"/>
  <c r="F22" i="1"/>
  <c r="G22" i="1"/>
  <c r="H22" i="1"/>
  <c r="I22" i="1"/>
  <c r="E9" i="1"/>
  <c r="J22" i="1"/>
  <c r="F9" i="1"/>
  <c r="K22" i="1"/>
  <c r="G9" i="1"/>
  <c r="L22" i="1"/>
  <c r="H9" i="1"/>
  <c r="M22" i="1"/>
  <c r="I9" i="1"/>
  <c r="N22" i="1"/>
  <c r="J9" i="1"/>
  <c r="O22" i="1"/>
  <c r="K9" i="1"/>
  <c r="P22" i="1"/>
  <c r="L9" i="1"/>
  <c r="Q22" i="1"/>
  <c r="M9" i="1"/>
  <c r="N9" i="1"/>
  <c r="O9" i="1"/>
  <c r="P9" i="1"/>
  <c r="F20" i="1"/>
  <c r="G20" i="1"/>
  <c r="H20" i="1"/>
  <c r="I20" i="1"/>
  <c r="J20" i="1"/>
  <c r="K20" i="1"/>
  <c r="L20" i="1"/>
  <c r="M20" i="1"/>
  <c r="N20" i="1"/>
  <c r="O20" i="1"/>
  <c r="P20" i="1"/>
  <c r="Q20" i="1"/>
  <c r="E20" i="1"/>
  <c r="U38" i="3" l="1"/>
  <c r="R38" i="3"/>
  <c r="O38" i="3"/>
  <c r="W38" i="3"/>
  <c r="N38" i="3" a="1"/>
  <c r="N38" i="3" s="1"/>
  <c r="M38" i="3" a="1"/>
  <c r="M38" i="3" s="1"/>
  <c r="T38" i="3"/>
  <c r="Q38" i="3"/>
  <c r="X38" i="3"/>
  <c r="S38" i="3"/>
  <c r="P38" i="3"/>
  <c r="V38" i="3"/>
  <c r="M45" i="3" a="1"/>
  <c r="M45" i="3" s="1"/>
  <c r="V45" i="3"/>
  <c r="X45" i="3"/>
  <c r="N45" i="3" a="1"/>
  <c r="N45" i="3" s="1"/>
  <c r="R45" i="3"/>
  <c r="W45" i="3"/>
  <c r="T45" i="3"/>
  <c r="S45" i="3"/>
  <c r="O45" i="3"/>
  <c r="U45" i="3"/>
  <c r="Q45" i="3"/>
  <c r="P45" i="3"/>
  <c r="X39" i="3"/>
  <c r="U39" i="3"/>
  <c r="R39" i="3"/>
  <c r="W39" i="3"/>
  <c r="T39" i="3"/>
  <c r="S39" i="3"/>
  <c r="P39" i="3"/>
  <c r="O39" i="3"/>
  <c r="M39" i="3" a="1"/>
  <c r="M39" i="3" s="1"/>
  <c r="N39" i="3" a="1"/>
  <c r="N39" i="3" s="1"/>
  <c r="Q39" i="3"/>
  <c r="V39" i="3"/>
  <c r="M14" i="3" a="1"/>
  <c r="M14" i="3" s="1"/>
  <c r="T14" i="3" s="1"/>
  <c r="N14" i="3" a="1"/>
  <c r="N14" i="3" s="1"/>
  <c r="Q14" i="3"/>
  <c r="W30" i="3"/>
  <c r="V30" i="3"/>
  <c r="Q30" i="3"/>
  <c r="P30" i="3"/>
  <c r="U30" i="3"/>
  <c r="M30" i="3" a="1"/>
  <c r="M30" i="3" s="1"/>
  <c r="R30" i="3"/>
  <c r="T30" i="3"/>
  <c r="N30" i="3" a="1"/>
  <c r="N30" i="3" s="1"/>
  <c r="X30" i="3"/>
  <c r="O30" i="3"/>
  <c r="S30" i="3"/>
  <c r="T32" i="3"/>
  <c r="W13" i="3"/>
  <c r="P13" i="3"/>
  <c r="T13" i="3"/>
  <c r="V13" i="3"/>
  <c r="U13" i="3"/>
  <c r="O13" i="3"/>
  <c r="S13" i="3"/>
  <c r="M13" i="3" a="1"/>
  <c r="M13" i="3" s="1"/>
  <c r="N13" i="3" a="1"/>
  <c r="N13" i="3" s="1"/>
  <c r="R13" i="3"/>
  <c r="Q13" i="3"/>
  <c r="X13" i="3"/>
  <c r="Y13" i="3" s="1"/>
  <c r="W50" i="3"/>
  <c r="V50" i="3"/>
  <c r="S50" i="3"/>
  <c r="U50" i="3"/>
  <c r="Q50" i="3"/>
  <c r="N50" i="3" a="1"/>
  <c r="N50" i="3" s="1"/>
  <c r="X50" i="3"/>
  <c r="R50" i="3"/>
  <c r="T50" i="3"/>
  <c r="P50" i="3"/>
  <c r="O50" i="3"/>
  <c r="M50" i="3" a="1"/>
  <c r="M50" i="3" s="1"/>
  <c r="X31" i="3"/>
  <c r="N31" i="3" a="1"/>
  <c r="N31" i="3" s="1"/>
  <c r="V31" i="3"/>
  <c r="P31" i="3"/>
  <c r="Q31" i="3"/>
  <c r="U31" i="3"/>
  <c r="S31" i="3"/>
  <c r="R31" i="3"/>
  <c r="M31" i="3" a="1"/>
  <c r="M31" i="3" s="1"/>
  <c r="W31" i="3"/>
  <c r="O31" i="3"/>
  <c r="T31" i="3"/>
  <c r="N46" i="3" a="1"/>
  <c r="N46" i="3" s="1"/>
  <c r="Q46" i="3"/>
  <c r="R46" i="3"/>
  <c r="O46" i="3"/>
  <c r="X46" i="3"/>
  <c r="W46" i="3"/>
  <c r="S46" i="3"/>
  <c r="T46" i="3"/>
  <c r="U46" i="3"/>
  <c r="P46" i="3"/>
  <c r="V46" i="3"/>
  <c r="M46" i="3" a="1"/>
  <c r="M46" i="3" s="1"/>
  <c r="V44" i="3"/>
  <c r="N44" i="3" a="1"/>
  <c r="N44" i="3" s="1"/>
  <c r="S44" i="3"/>
  <c r="P44" i="3"/>
  <c r="U44" i="3"/>
  <c r="X44" i="3"/>
  <c r="R44" i="3"/>
  <c r="W44" i="3"/>
  <c r="O44" i="3"/>
  <c r="T44" i="3"/>
  <c r="Q44" i="3"/>
  <c r="M44" i="3" a="1"/>
  <c r="M44" i="3" s="1"/>
  <c r="N33" i="3" a="1"/>
  <c r="N33" i="3" s="1"/>
  <c r="N15" i="3" a="1"/>
  <c r="N15" i="3" s="1"/>
  <c r="M15" i="3" a="1"/>
  <c r="M15" i="3" s="1"/>
  <c r="O15" i="3"/>
  <c r="T15" i="3"/>
  <c r="Q15" i="3"/>
  <c r="V15" i="3"/>
  <c r="T49" i="3"/>
  <c r="Q49" i="3"/>
  <c r="M49" i="3" a="1"/>
  <c r="M49" i="3" s="1"/>
  <c r="V49" i="3"/>
  <c r="S49" i="3"/>
  <c r="P49" i="3"/>
  <c r="U49" i="3"/>
  <c r="N49" i="3" a="1"/>
  <c r="N49" i="3" s="1"/>
  <c r="W49" i="3"/>
  <c r="X49" i="3"/>
  <c r="R49" i="3"/>
  <c r="O49" i="3"/>
  <c r="T17" i="3"/>
  <c r="Q17" i="3"/>
  <c r="S17" i="3"/>
  <c r="P17" i="3"/>
  <c r="V17" i="3"/>
  <c r="N17" i="3" a="1"/>
  <c r="N17" i="3" s="1"/>
  <c r="U17" i="3"/>
  <c r="O17" i="3"/>
  <c r="X17" i="3"/>
  <c r="M17" i="3" a="1"/>
  <c r="M17" i="3" s="1"/>
  <c r="W17" i="3"/>
  <c r="R17" i="3"/>
  <c r="V32" i="3"/>
  <c r="D33" i="3"/>
  <c r="N16" i="3" a="1"/>
  <c r="N16" i="3" s="1"/>
  <c r="D20" i="3"/>
  <c r="N32" i="3" a="1"/>
  <c r="N32" i="3" s="1"/>
  <c r="Q32" i="3" s="1"/>
  <c r="D16" i="3"/>
  <c r="X40" i="3"/>
  <c r="W40" i="3"/>
  <c r="S40" i="3"/>
  <c r="O40" i="3"/>
  <c r="R40" i="3"/>
  <c r="T40" i="3"/>
  <c r="M40" i="3" a="1"/>
  <c r="M40" i="3" s="1"/>
  <c r="N40" i="3" a="1"/>
  <c r="N40" i="3" s="1"/>
  <c r="Q40" i="3"/>
  <c r="U40" i="3"/>
  <c r="V40" i="3"/>
  <c r="P40" i="3"/>
  <c r="L17" i="3" a="1"/>
  <c r="L17" i="3" s="1"/>
  <c r="L29" i="3" a="1"/>
  <c r="L29" i="3" s="1"/>
  <c r="L37" i="3" a="1"/>
  <c r="L37" i="3" s="1"/>
  <c r="AF11" i="3"/>
  <c r="J14" i="3" a="1"/>
  <c r="J14" i="3" s="1"/>
  <c r="K14" i="3" s="1" a="1"/>
  <c r="K14" i="3" s="1"/>
  <c r="J18" i="3" a="1"/>
  <c r="J18" i="3" s="1"/>
  <c r="J15" i="3" a="1"/>
  <c r="J15" i="3" s="1"/>
  <c r="AI22" i="1"/>
  <c r="AJ38" i="1"/>
  <c r="AU5" i="1"/>
  <c r="AJ22" i="1"/>
  <c r="AK38" i="1"/>
  <c r="AG38" i="1"/>
  <c r="AH22" i="1"/>
  <c r="AI38" i="1"/>
  <c r="AG9" i="1"/>
  <c r="AK22" i="1"/>
  <c r="AL38" i="1"/>
  <c r="AH9" i="1"/>
  <c r="AL22" i="1"/>
  <c r="AM38" i="1"/>
  <c r="AI9" i="1"/>
  <c r="AM22" i="1"/>
  <c r="AN38" i="1"/>
  <c r="AJ9" i="1"/>
  <c r="AN22" i="1"/>
  <c r="AO38" i="1"/>
  <c r="AK9" i="1"/>
  <c r="AO22" i="1"/>
  <c r="AP38" i="1"/>
  <c r="AL9" i="1"/>
  <c r="AP22" i="1"/>
  <c r="AQ38" i="1"/>
  <c r="AM9" i="1"/>
  <c r="AQ22" i="1"/>
  <c r="AR38" i="1"/>
  <c r="AN9" i="1"/>
  <c r="AR22" i="1"/>
  <c r="AS38" i="1"/>
  <c r="AO9" i="1"/>
  <c r="AS22" i="1"/>
  <c r="AP9" i="1"/>
  <c r="AQ9" i="1"/>
  <c r="AG22" i="1"/>
  <c r="AR9" i="1"/>
  <c r="AH38" i="1"/>
  <c r="AS9" i="1"/>
  <c r="DD7" i="1"/>
  <c r="DD6" i="1" s="1"/>
  <c r="DH7" i="1"/>
  <c r="DH6" i="1" s="1"/>
  <c r="CQ7" i="1"/>
  <c r="CQ6" i="1" s="1"/>
  <c r="DF7" i="1"/>
  <c r="DF6" i="1" s="1"/>
  <c r="DU7" i="1"/>
  <c r="DU6" i="1" s="1"/>
  <c r="AL7" i="1"/>
  <c r="AL6" i="1" s="1"/>
  <c r="CM7" i="1"/>
  <c r="CM6" i="1" s="1"/>
  <c r="EG7" i="1"/>
  <c r="EG6" i="1" s="1"/>
  <c r="BU7" i="1"/>
  <c r="BU6" i="1" s="1"/>
  <c r="DP7" i="1"/>
  <c r="DP6" i="1" s="1"/>
  <c r="BJ7" i="1"/>
  <c r="BJ6" i="1" s="1"/>
  <c r="EJ7" i="1"/>
  <c r="EJ6" i="1" s="1"/>
  <c r="BC7" i="1"/>
  <c r="BC6" i="1" s="1"/>
  <c r="CL7" i="1"/>
  <c r="CL6" i="1" s="1"/>
  <c r="DQ7" i="1"/>
  <c r="DQ6" i="1" s="1"/>
  <c r="CA7" i="1"/>
  <c r="CA6" i="1" s="1"/>
  <c r="EA7" i="1"/>
  <c r="EA6" i="1" s="1"/>
  <c r="EF7" i="1"/>
  <c r="EF6" i="1" s="1"/>
  <c r="CW7" i="1"/>
  <c r="CW6" i="1" s="1"/>
  <c r="DO7" i="1"/>
  <c r="DO6" i="1" s="1"/>
  <c r="BS7" i="1"/>
  <c r="BS6" i="1" s="1"/>
  <c r="CK7" i="1"/>
  <c r="CK6" i="1" s="1"/>
  <c r="BL7" i="1"/>
  <c r="BL6" i="1" s="1"/>
  <c r="CE7" i="1"/>
  <c r="CE6" i="1" s="1"/>
  <c r="CY7" i="1"/>
  <c r="CY6" i="1" s="1"/>
  <c r="AQ7" i="1"/>
  <c r="AQ6" i="1" s="1"/>
  <c r="BT7" i="1"/>
  <c r="BT6" i="1" s="1"/>
  <c r="AG7" i="1"/>
  <c r="AG6" i="1" s="1"/>
  <c r="AH7" i="1"/>
  <c r="AH6" i="1" s="1"/>
  <c r="DI7" i="1"/>
  <c r="DI6" i="1" s="1"/>
  <c r="AN7" i="1"/>
  <c r="AN6" i="1" s="1"/>
  <c r="CI7" i="1"/>
  <c r="CI6" i="1" s="1"/>
  <c r="CZ7" i="1"/>
  <c r="CZ6" i="1" s="1"/>
  <c r="EE7" i="1"/>
  <c r="EE6" i="1" s="1"/>
  <c r="AW7" i="1"/>
  <c r="AW6" i="1" s="1"/>
  <c r="BG7" i="1"/>
  <c r="BG6" i="1" s="1"/>
  <c r="DC7" i="1"/>
  <c r="DC6" i="1" s="1"/>
  <c r="BW7" i="1"/>
  <c r="BW6" i="1" s="1"/>
  <c r="BE7" i="1"/>
  <c r="BE6" i="1" s="1"/>
  <c r="DE7" i="1"/>
  <c r="DE6" i="1" s="1"/>
  <c r="DY7" i="1"/>
  <c r="DY6" i="1" s="1"/>
  <c r="BA7" i="1"/>
  <c r="BA6" i="1" s="1"/>
  <c r="CF7" i="1"/>
  <c r="CF6" i="1" s="1"/>
  <c r="DS7" i="1"/>
  <c r="DS6" i="1" s="1"/>
  <c r="BI7" i="1"/>
  <c r="BI6" i="1" s="1"/>
  <c r="BO7" i="1"/>
  <c r="BO6" i="1" s="1"/>
  <c r="CS7" i="1"/>
  <c r="CS6" i="1" s="1"/>
  <c r="DK7" i="1"/>
  <c r="DK6" i="1" s="1"/>
  <c r="CG7" i="1"/>
  <c r="CG6" i="1" s="1"/>
  <c r="DT7" i="1"/>
  <c r="DT6" i="1" s="1"/>
  <c r="EM7" i="1"/>
  <c r="EM6" i="1" s="1"/>
  <c r="AR7" i="1"/>
  <c r="AR6" i="1" s="1"/>
  <c r="BY7" i="1"/>
  <c r="BY6" i="1" s="1"/>
  <c r="AO7" i="1"/>
  <c r="AO6" i="1" s="1"/>
  <c r="BQ7" i="1"/>
  <c r="BQ6" i="1" s="1"/>
  <c r="DX7" i="1"/>
  <c r="DX6" i="1" s="1"/>
  <c r="EB7" i="1"/>
  <c r="EB6" i="1" s="1"/>
  <c r="AS7" i="1"/>
  <c r="AS6" i="1" s="1"/>
  <c r="AU7" i="1"/>
  <c r="AU6" i="1" s="1"/>
  <c r="CT7" i="1"/>
  <c r="CT6" i="1" s="1"/>
  <c r="BK7" i="1"/>
  <c r="BK6" i="1" s="1"/>
  <c r="CD7" i="1"/>
  <c r="CD6" i="1" s="1"/>
  <c r="AV7" i="1"/>
  <c r="AV6" i="1" s="1"/>
  <c r="CH7" i="1"/>
  <c r="CH6" i="1" s="1"/>
  <c r="CU7" i="1"/>
  <c r="CU6" i="1" s="1"/>
  <c r="CV7" i="1"/>
  <c r="CV6" i="1" s="1"/>
  <c r="DW7" i="1"/>
  <c r="DW6" i="1" s="1"/>
  <c r="EL7" i="1"/>
  <c r="EL6" i="1" s="1"/>
  <c r="AJ7" i="1"/>
  <c r="AJ6" i="1" s="1"/>
  <c r="DM7" i="1"/>
  <c r="DM6" i="1" s="1"/>
  <c r="DN7" i="1"/>
  <c r="DN6" i="1" s="1"/>
  <c r="AZ7" i="1"/>
  <c r="AZ6" i="1" s="1"/>
  <c r="EH7" i="1"/>
  <c r="EH6" i="1" s="1"/>
  <c r="AY7" i="1"/>
  <c r="AY6" i="1" s="1"/>
  <c r="ED7" i="1"/>
  <c r="ED6" i="1" s="1"/>
  <c r="BX7" i="1"/>
  <c r="BX6" i="1" s="1"/>
  <c r="BN7" i="1"/>
  <c r="BN6" i="1" s="1"/>
  <c r="AM7" i="1"/>
  <c r="AM6" i="1" s="1"/>
  <c r="DR7" i="1"/>
  <c r="DR6" i="1" s="1"/>
  <c r="CP7" i="1"/>
  <c r="CP6" i="1" s="1"/>
  <c r="CN7" i="1"/>
  <c r="CN6" i="1" s="1"/>
  <c r="CC7" i="1"/>
  <c r="CC6" i="1" s="1"/>
  <c r="BD7" i="1"/>
  <c r="BD6" i="1" s="1"/>
  <c r="EI7" i="1"/>
  <c r="EI6" i="1" s="1"/>
  <c r="AI7" i="1"/>
  <c r="AI6" i="1" s="1"/>
  <c r="CR7" i="1"/>
  <c r="CR6" i="1" s="1"/>
  <c r="AP7" i="1"/>
  <c r="AP6" i="1" s="1"/>
  <c r="AK7" i="1"/>
  <c r="AK6" i="1" s="1"/>
  <c r="AX7" i="1"/>
  <c r="AX6" i="1" s="1"/>
  <c r="DG7" i="1"/>
  <c r="DG6" i="1" s="1"/>
  <c r="EC7" i="1"/>
  <c r="EC6" i="1" s="1"/>
  <c r="BP7" i="1"/>
  <c r="BP6" i="1" s="1"/>
  <c r="BB7" i="1"/>
  <c r="BB6" i="1" s="1"/>
  <c r="DB7" i="1"/>
  <c r="DB6" i="1" s="1"/>
  <c r="BM7" i="1"/>
  <c r="BM6" i="1" s="1"/>
  <c r="DV7" i="1"/>
  <c r="DV6" i="1" s="1"/>
  <c r="DJ7" i="1"/>
  <c r="DJ6" i="1" s="1"/>
  <c r="BZ7" i="1"/>
  <c r="BZ6" i="1" s="1"/>
  <c r="CO7" i="1"/>
  <c r="CO6" i="1" s="1"/>
  <c r="CB7" i="1"/>
  <c r="CB6" i="1" s="1"/>
  <c r="EK7" i="1"/>
  <c r="EK6" i="1" s="1"/>
  <c r="BF7" i="1"/>
  <c r="BF6" i="1" s="1"/>
  <c r="DA7" i="1"/>
  <c r="DA6" i="1" s="1"/>
  <c r="BR7" i="1"/>
  <c r="BR6" i="1" s="1"/>
  <c r="Y7" i="1"/>
  <c r="Y6" i="1" s="1"/>
  <c r="Z7" i="1"/>
  <c r="Z6" i="1" s="1"/>
  <c r="AA7" i="1"/>
  <c r="AA6" i="1" s="1"/>
  <c r="AB7" i="1"/>
  <c r="AB6" i="1" s="1"/>
  <c r="S7" i="1"/>
  <c r="S6" i="1" s="1"/>
  <c r="AC7" i="1"/>
  <c r="AC6" i="1" s="1"/>
  <c r="V7" i="1"/>
  <c r="V6" i="1" s="1"/>
  <c r="T7" i="1"/>
  <c r="T6" i="1" s="1"/>
  <c r="AE7" i="1"/>
  <c r="AE6" i="1" s="1"/>
  <c r="X7" i="1"/>
  <c r="X6" i="1" s="1"/>
  <c r="U7" i="1"/>
  <c r="U6" i="1" s="1"/>
  <c r="AD7" i="1"/>
  <c r="AD6" i="1" s="1"/>
  <c r="W7" i="1"/>
  <c r="W6" i="1" s="1"/>
  <c r="J7" i="1"/>
  <c r="J6" i="1" s="1"/>
  <c r="I7" i="1"/>
  <c r="I6" i="1" s="1"/>
  <c r="H7" i="1"/>
  <c r="H6" i="1" s="1"/>
  <c r="F7" i="1"/>
  <c r="F6" i="1" s="1"/>
  <c r="G7" i="1"/>
  <c r="G6" i="1" s="1"/>
  <c r="Q7" i="1"/>
  <c r="Q6" i="1" s="1"/>
  <c r="P7" i="1"/>
  <c r="P6" i="1" s="1"/>
  <c r="O7" i="1"/>
  <c r="O6" i="1" s="1"/>
  <c r="N7" i="1"/>
  <c r="N6" i="1" s="1"/>
  <c r="M7" i="1"/>
  <c r="M6" i="1" s="1"/>
  <c r="L7" i="1"/>
  <c r="L6" i="1" s="1"/>
  <c r="K7" i="1"/>
  <c r="K6" i="1" s="1"/>
  <c r="E7" i="1"/>
  <c r="E6" i="1" s="1"/>
  <c r="R14" i="3"/>
  <c r="R32" i="3"/>
  <c r="R15" i="3"/>
  <c r="O14" i="3" l="1"/>
  <c r="I16" i="3" a="1"/>
  <c r="I16" i="3" s="1"/>
  <c r="D17" i="3"/>
  <c r="I17" i="3" s="1" a="1"/>
  <c r="I17" i="3" s="1"/>
  <c r="K17" i="3" s="1" a="1"/>
  <c r="K17" i="3" s="1"/>
  <c r="M16" i="3" a="1"/>
  <c r="M16" i="3" s="1"/>
  <c r="I33" i="3" a="1"/>
  <c r="I33" i="3" s="1"/>
  <c r="D34" i="3"/>
  <c r="V14" i="3"/>
  <c r="I20" i="3" a="1"/>
  <c r="I20" i="3" s="1"/>
  <c r="D21" i="3"/>
  <c r="N20" i="3" a="1"/>
  <c r="N20" i="3" s="1"/>
  <c r="M20" i="3" a="1"/>
  <c r="M20" i="3" s="1"/>
  <c r="O32" i="3"/>
  <c r="M33" i="3" a="1"/>
  <c r="M33" i="3" s="1"/>
  <c r="J16" i="3" a="1"/>
  <c r="J16" i="3" s="1"/>
  <c r="BI5" i="1"/>
  <c r="AU38" i="1"/>
  <c r="AU22" i="1"/>
  <c r="AV38" i="1"/>
  <c r="AV22" i="1"/>
  <c r="AW38" i="1"/>
  <c r="AX9" i="1"/>
  <c r="BF22" i="1"/>
  <c r="BG38" i="1"/>
  <c r="AY9" i="1"/>
  <c r="AZ9" i="1"/>
  <c r="BG9" i="1"/>
  <c r="AW22" i="1"/>
  <c r="AX38" i="1"/>
  <c r="AU9" i="1"/>
  <c r="AY22" i="1"/>
  <c r="AZ38" i="1"/>
  <c r="AV9" i="1"/>
  <c r="BE22" i="1"/>
  <c r="BG22" i="1"/>
  <c r="AX22" i="1"/>
  <c r="AY38" i="1"/>
  <c r="AZ22" i="1"/>
  <c r="BE38" i="1"/>
  <c r="AW9" i="1"/>
  <c r="BF38" i="1"/>
  <c r="BD22" i="1"/>
  <c r="BA38" i="1"/>
  <c r="BB38" i="1"/>
  <c r="BD38" i="1"/>
  <c r="BE9" i="1"/>
  <c r="BF9" i="1"/>
  <c r="BB22" i="1"/>
  <c r="BC9" i="1"/>
  <c r="BB9" i="1"/>
  <c r="BD9" i="1"/>
  <c r="BA9" i="1"/>
  <c r="BA22" i="1"/>
  <c r="BC22" i="1"/>
  <c r="BC38" i="1"/>
  <c r="I34" i="3" l="1" a="1"/>
  <c r="I34" i="3" s="1"/>
  <c r="D35" i="3"/>
  <c r="M34" i="3" a="1"/>
  <c r="M34" i="3" s="1"/>
  <c r="N34" i="3" a="1"/>
  <c r="N34" i="3" s="1"/>
  <c r="T20" i="3"/>
  <c r="V20" i="3"/>
  <c r="Q20" i="3"/>
  <c r="O20" i="3"/>
  <c r="I21" i="3" a="1"/>
  <c r="I21" i="3" s="1"/>
  <c r="D22" i="3"/>
  <c r="M21" i="3" a="1"/>
  <c r="M21" i="3" s="1"/>
  <c r="N21" i="3" a="1"/>
  <c r="N21" i="3" s="1"/>
  <c r="Q33" i="3"/>
  <c r="O33" i="3"/>
  <c r="V33" i="3"/>
  <c r="T33" i="3"/>
  <c r="V16" i="3"/>
  <c r="T16" i="3"/>
  <c r="Q16" i="3"/>
  <c r="O16" i="3"/>
  <c r="K16" i="3" a="1"/>
  <c r="K16" i="3" s="1"/>
  <c r="J17" i="3" a="1"/>
  <c r="J17" i="3" s="1"/>
  <c r="BQ9" i="1"/>
  <c r="BR9" i="1"/>
  <c r="BU22" i="1"/>
  <c r="BS22" i="1"/>
  <c r="BS9" i="1"/>
  <c r="BL9" i="1"/>
  <c r="BN38" i="1"/>
  <c r="BO9" i="1"/>
  <c r="BO38" i="1"/>
  <c r="BI22" i="1"/>
  <c r="BJ38" i="1"/>
  <c r="BJ22" i="1"/>
  <c r="BK38" i="1"/>
  <c r="BK9" i="1"/>
  <c r="BL38" i="1"/>
  <c r="BO22" i="1"/>
  <c r="BM38" i="1"/>
  <c r="BM9" i="1"/>
  <c r="BT38" i="1"/>
  <c r="BP9" i="1"/>
  <c r="BU38" i="1"/>
  <c r="BP22" i="1"/>
  <c r="BN9" i="1"/>
  <c r="BQ22" i="1"/>
  <c r="BR22" i="1"/>
  <c r="BI38" i="1"/>
  <c r="BK22" i="1"/>
  <c r="BP38" i="1"/>
  <c r="BU9" i="1"/>
  <c r="BR38" i="1"/>
  <c r="BT22" i="1"/>
  <c r="BQ38" i="1"/>
  <c r="BW5" i="1"/>
  <c r="BJ9" i="1"/>
  <c r="BS38" i="1"/>
  <c r="BI9" i="1"/>
  <c r="BT9" i="1"/>
  <c r="BL22" i="1"/>
  <c r="BM22" i="1"/>
  <c r="BN22" i="1"/>
  <c r="P14" i="3"/>
  <c r="R33" i="3"/>
  <c r="P15" i="3"/>
  <c r="P16" i="3"/>
  <c r="R20" i="3"/>
  <c r="R16" i="3"/>
  <c r="S16" i="3" l="1"/>
  <c r="U16" i="3" s="1"/>
  <c r="S15" i="3"/>
  <c r="U15" i="3" s="1"/>
  <c r="S14" i="3"/>
  <c r="U14" i="3" s="1"/>
  <c r="D36" i="3"/>
  <c r="I35" i="3" a="1"/>
  <c r="I35" i="3" s="1"/>
  <c r="N35" i="3" a="1"/>
  <c r="N35" i="3" s="1"/>
  <c r="M35" i="3" a="1"/>
  <c r="M35" i="3" s="1"/>
  <c r="T21" i="3"/>
  <c r="Q21" i="3"/>
  <c r="V21" i="3"/>
  <c r="O21" i="3"/>
  <c r="I22" i="3" a="1"/>
  <c r="I22" i="3" s="1"/>
  <c r="D23" i="3"/>
  <c r="M22" i="3" a="1"/>
  <c r="M22" i="3" s="1"/>
  <c r="N22" i="3" a="1"/>
  <c r="N22" i="3" s="1"/>
  <c r="T34" i="3"/>
  <c r="O34" i="3"/>
  <c r="Q34" i="3"/>
  <c r="V34" i="3"/>
  <c r="CG38" i="1"/>
  <c r="BY38" i="1"/>
  <c r="CI22" i="1"/>
  <c r="BX9" i="1"/>
  <c r="BZ9" i="1"/>
  <c r="CE22" i="1"/>
  <c r="CF22" i="1"/>
  <c r="CD9" i="1"/>
  <c r="CG22" i="1"/>
  <c r="CH9" i="1"/>
  <c r="BZ38" i="1"/>
  <c r="CC22" i="1"/>
  <c r="CB9" i="1"/>
  <c r="CH22" i="1"/>
  <c r="CA38" i="1"/>
  <c r="CI9" i="1"/>
  <c r="CI38" i="1"/>
  <c r="CC38" i="1"/>
  <c r="CA9" i="1"/>
  <c r="CF9" i="1"/>
  <c r="CH38" i="1"/>
  <c r="CB38" i="1"/>
  <c r="CD38" i="1"/>
  <c r="BW9" i="1"/>
  <c r="CK5" i="1"/>
  <c r="BW22" i="1"/>
  <c r="CB22" i="1"/>
  <c r="CD22" i="1"/>
  <c r="CC9" i="1"/>
  <c r="CF38" i="1"/>
  <c r="CG9" i="1"/>
  <c r="BX38" i="1"/>
  <c r="BY9" i="1"/>
  <c r="BY22" i="1"/>
  <c r="CE9" i="1"/>
  <c r="BZ22" i="1"/>
  <c r="CA22" i="1"/>
  <c r="BW38" i="1"/>
  <c r="BX22" i="1"/>
  <c r="CE38" i="1"/>
  <c r="R21" i="3"/>
  <c r="R34" i="3"/>
  <c r="V35" i="3" l="1"/>
  <c r="T35" i="3"/>
  <c r="O35" i="3"/>
  <c r="Q35" i="3"/>
  <c r="D37" i="3"/>
  <c r="I37" i="3" s="1" a="1"/>
  <c r="I37" i="3" s="1"/>
  <c r="K37" i="3" s="1" a="1"/>
  <c r="K37" i="3" s="1"/>
  <c r="I36" i="3" a="1"/>
  <c r="I36" i="3" s="1"/>
  <c r="N36" i="3" a="1"/>
  <c r="N36" i="3" s="1"/>
  <c r="M36" i="3" a="1"/>
  <c r="M36" i="3" s="1"/>
  <c r="I23" i="3" a="1"/>
  <c r="I23" i="3" s="1"/>
  <c r="D24" i="3"/>
  <c r="M23" i="3" a="1"/>
  <c r="M23" i="3" s="1"/>
  <c r="N23" i="3" a="1"/>
  <c r="N23" i="3" s="1"/>
  <c r="T22" i="3"/>
  <c r="O22" i="3"/>
  <c r="V22" i="3"/>
  <c r="Q22" i="3"/>
  <c r="J19" i="3" a="1"/>
  <c r="J19" i="3" s="1"/>
  <c r="CO38" i="1"/>
  <c r="CK22" i="1"/>
  <c r="CL22" i="1"/>
  <c r="CK9" i="1"/>
  <c r="CL9" i="1"/>
  <c r="CU9" i="1"/>
  <c r="CS38" i="1"/>
  <c r="CV9" i="1"/>
  <c r="CW38" i="1"/>
  <c r="CL38" i="1"/>
  <c r="CM38" i="1"/>
  <c r="CW9" i="1"/>
  <c r="CM22" i="1"/>
  <c r="CM9" i="1"/>
  <c r="CS9" i="1"/>
  <c r="CO9" i="1"/>
  <c r="CR9" i="1"/>
  <c r="CT22" i="1"/>
  <c r="CU22" i="1"/>
  <c r="CR38" i="1"/>
  <c r="CS22" i="1"/>
  <c r="CO22" i="1"/>
  <c r="CP22" i="1"/>
  <c r="CQ22" i="1"/>
  <c r="CR22" i="1"/>
  <c r="CP9" i="1"/>
  <c r="CN9" i="1"/>
  <c r="CT9" i="1"/>
  <c r="CP38" i="1"/>
  <c r="CU38" i="1"/>
  <c r="CV38" i="1"/>
  <c r="CQ38" i="1"/>
  <c r="CT38" i="1"/>
  <c r="CY5" i="1"/>
  <c r="CN22" i="1"/>
  <c r="CQ9" i="1"/>
  <c r="CV22" i="1"/>
  <c r="CK38" i="1"/>
  <c r="CW22" i="1"/>
  <c r="CN38" i="1"/>
  <c r="W14" i="3"/>
  <c r="R35" i="3"/>
  <c r="R22" i="3"/>
  <c r="W16" i="3"/>
  <c r="W15" i="3"/>
  <c r="X16" i="3" l="1"/>
  <c r="X15" i="3"/>
  <c r="X14" i="3"/>
  <c r="I24" i="3" a="1"/>
  <c r="I24" i="3" s="1"/>
  <c r="D25" i="3"/>
  <c r="N24" i="3" a="1"/>
  <c r="N24" i="3" s="1"/>
  <c r="M24" i="3" a="1"/>
  <c r="M24" i="3" s="1"/>
  <c r="O23" i="3"/>
  <c r="V23" i="3"/>
  <c r="T23" i="3"/>
  <c r="Q23" i="3"/>
  <c r="O36" i="3"/>
  <c r="V36" i="3"/>
  <c r="T36" i="3"/>
  <c r="Q36" i="3"/>
  <c r="J20" i="3" a="1"/>
  <c r="J20" i="3" s="1"/>
  <c r="K20" i="3" s="1" a="1"/>
  <c r="K20" i="3" s="1"/>
  <c r="DG9" i="1"/>
  <c r="CZ22" i="1"/>
  <c r="DA22" i="1"/>
  <c r="DA9" i="1"/>
  <c r="DI9" i="1"/>
  <c r="DG22" i="1"/>
  <c r="CY9" i="1"/>
  <c r="DM5" i="1"/>
  <c r="CZ9" i="1"/>
  <c r="DD38" i="1"/>
  <c r="DI38" i="1"/>
  <c r="DC22" i="1"/>
  <c r="DJ22" i="1"/>
  <c r="CZ38" i="1"/>
  <c r="CY22" i="1"/>
  <c r="DC38" i="1"/>
  <c r="DB9" i="1"/>
  <c r="DK38" i="1"/>
  <c r="CY38" i="1"/>
  <c r="DA38" i="1"/>
  <c r="DD9" i="1"/>
  <c r="DE38" i="1"/>
  <c r="DF38" i="1"/>
  <c r="DG38" i="1"/>
  <c r="DI22" i="1"/>
  <c r="DB22" i="1"/>
  <c r="DJ9" i="1"/>
  <c r="DD22" i="1"/>
  <c r="DJ38" i="1"/>
  <c r="DK9" i="1"/>
  <c r="DK22" i="1"/>
  <c r="DC9" i="1"/>
  <c r="DE22" i="1"/>
  <c r="DF22" i="1"/>
  <c r="DH22" i="1"/>
  <c r="DE9" i="1"/>
  <c r="DH38" i="1"/>
  <c r="DH9" i="1"/>
  <c r="DB38" i="1"/>
  <c r="DF9" i="1"/>
  <c r="R36" i="3"/>
  <c r="R23" i="3"/>
  <c r="Z17" i="3" l="1"/>
  <c r="AA17" i="3"/>
  <c r="Y19" i="3"/>
  <c r="Y17" i="3"/>
  <c r="I25" i="3" a="1"/>
  <c r="I25" i="3" s="1"/>
  <c r="D26" i="3"/>
  <c r="M25" i="3" a="1"/>
  <c r="M25" i="3" s="1"/>
  <c r="N25" i="3" a="1"/>
  <c r="N25" i="3" s="1"/>
  <c r="Q24" i="3"/>
  <c r="V24" i="3"/>
  <c r="O24" i="3"/>
  <c r="T24" i="3"/>
  <c r="J21" i="3" a="1"/>
  <c r="J21" i="3" s="1"/>
  <c r="K21" i="3" s="1" a="1"/>
  <c r="K21" i="3" s="1"/>
  <c r="DT22" i="1"/>
  <c r="DU9" i="1"/>
  <c r="DU22" i="1"/>
  <c r="DW9" i="1"/>
  <c r="DX9" i="1"/>
  <c r="DP9" i="1"/>
  <c r="DN9" i="1"/>
  <c r="DV38" i="1"/>
  <c r="DV22" i="1"/>
  <c r="DO38" i="1"/>
  <c r="DY38" i="1"/>
  <c r="DQ9" i="1"/>
  <c r="DU38" i="1"/>
  <c r="DQ22" i="1"/>
  <c r="DR38" i="1"/>
  <c r="EA5" i="1"/>
  <c r="DT9" i="1"/>
  <c r="DV9" i="1"/>
  <c r="DW22" i="1"/>
  <c r="DM38" i="1"/>
  <c r="DY9" i="1"/>
  <c r="DR9" i="1"/>
  <c r="DP38" i="1"/>
  <c r="DY22" i="1"/>
  <c r="DN38" i="1"/>
  <c r="DM22" i="1"/>
  <c r="DW38" i="1"/>
  <c r="DO9" i="1"/>
  <c r="DP22" i="1"/>
  <c r="DT38" i="1"/>
  <c r="DX22" i="1"/>
  <c r="DM9" i="1"/>
  <c r="DO22" i="1"/>
  <c r="DR22" i="1"/>
  <c r="DQ38" i="1"/>
  <c r="DS38" i="1"/>
  <c r="DN22" i="1"/>
  <c r="DX38" i="1"/>
  <c r="DS9" i="1"/>
  <c r="DS22" i="1"/>
  <c r="R24" i="3"/>
  <c r="AB17" i="3" l="1"/>
  <c r="AC17" i="3"/>
  <c r="AD17" i="3"/>
  <c r="O25" i="3"/>
  <c r="Q25" i="3"/>
  <c r="V25" i="3"/>
  <c r="T25" i="3"/>
  <c r="I26" i="3" a="1"/>
  <c r="I26" i="3" s="1"/>
  <c r="D27" i="3"/>
  <c r="M26" i="3" a="1"/>
  <c r="M26" i="3" s="1"/>
  <c r="N26" i="3" a="1"/>
  <c r="N26" i="3" s="1"/>
  <c r="J22" i="3" a="1"/>
  <c r="J22" i="3" s="1"/>
  <c r="K22" i="3" s="1" a="1"/>
  <c r="K22" i="3" s="1"/>
  <c r="EC38" i="1"/>
  <c r="ED38" i="1"/>
  <c r="EE9" i="1"/>
  <c r="EF9" i="1"/>
  <c r="EB22" i="1"/>
  <c r="EJ22" i="1"/>
  <c r="EJ9" i="1"/>
  <c r="EM38" i="1"/>
  <c r="EG22" i="1"/>
  <c r="EH38" i="1"/>
  <c r="EK9" i="1"/>
  <c r="EL9" i="1"/>
  <c r="ED22" i="1"/>
  <c r="EE38" i="1"/>
  <c r="EA22" i="1"/>
  <c r="EK38" i="1"/>
  <c r="EI38" i="1"/>
  <c r="EH9" i="1"/>
  <c r="EJ38" i="1"/>
  <c r="EK22" i="1"/>
  <c r="EB9" i="1"/>
  <c r="EC22" i="1"/>
  <c r="EA38" i="1"/>
  <c r="ED9" i="1"/>
  <c r="EE22" i="1"/>
  <c r="EB38" i="1"/>
  <c r="EF38" i="1"/>
  <c r="EM9" i="1"/>
  <c r="EM22" i="1"/>
  <c r="EF22" i="1"/>
  <c r="EG38" i="1"/>
  <c r="EG9" i="1"/>
  <c r="EI22" i="1"/>
  <c r="EC9" i="1"/>
  <c r="EI9" i="1"/>
  <c r="EA9" i="1"/>
  <c r="EL22" i="1"/>
  <c r="EL38" i="1"/>
  <c r="EH22" i="1"/>
  <c r="R25" i="3"/>
  <c r="Q26" i="3" l="1"/>
  <c r="O26" i="3"/>
  <c r="V26" i="3"/>
  <c r="T26" i="3"/>
  <c r="I27" i="3" a="1"/>
  <c r="I27" i="3" s="1"/>
  <c r="D28" i="3"/>
  <c r="N27" i="3" a="1"/>
  <c r="N27" i="3" s="1"/>
  <c r="M27" i="3" a="1"/>
  <c r="M27" i="3" s="1"/>
  <c r="J23" i="3" a="1"/>
  <c r="J23" i="3" s="1"/>
  <c r="K23" i="3" s="1" a="1"/>
  <c r="K23" i="3" s="1"/>
  <c r="R26" i="3"/>
  <c r="I28" i="3" l="1" a="1"/>
  <c r="I28" i="3" s="1"/>
  <c r="D29" i="3"/>
  <c r="I29" i="3" s="1" a="1"/>
  <c r="I29" i="3" s="1"/>
  <c r="K29" i="3" s="1" a="1"/>
  <c r="K29" i="3" s="1"/>
  <c r="M28" i="3" a="1"/>
  <c r="M28" i="3" s="1"/>
  <c r="N28" i="3" a="1"/>
  <c r="N28" i="3" s="1"/>
  <c r="Q27" i="3"/>
  <c r="V27" i="3"/>
  <c r="T27" i="3"/>
  <c r="O27" i="3"/>
  <c r="J24" i="3" a="1"/>
  <c r="J24" i="3" s="1"/>
  <c r="K24" i="3" s="1" a="1"/>
  <c r="K24" i="3" s="1"/>
  <c r="R27" i="3"/>
  <c r="T28" i="3" l="1"/>
  <c r="O28" i="3"/>
  <c r="V28" i="3"/>
  <c r="Q28" i="3"/>
  <c r="J25" i="3" a="1"/>
  <c r="J25" i="3" s="1"/>
  <c r="K25" i="3" s="1" a="1"/>
  <c r="K25" i="3" s="1"/>
  <c r="R28" i="3"/>
  <c r="J26" i="3" l="1" a="1"/>
  <c r="J26" i="3" s="1"/>
  <c r="K26" i="3" s="1" a="1"/>
  <c r="K26" i="3" s="1"/>
  <c r="J27" i="3" l="1" a="1"/>
  <c r="J27" i="3" s="1"/>
  <c r="K27" i="3" s="1" a="1"/>
  <c r="K27" i="3" s="1"/>
  <c r="J28" i="3" l="1" a="1"/>
  <c r="J28" i="3" s="1"/>
  <c r="K28" i="3" s="1" a="1"/>
  <c r="K28" i="3" s="1"/>
  <c r="P27" i="3"/>
  <c r="P23" i="3"/>
  <c r="P21" i="3"/>
  <c r="P20" i="3"/>
  <c r="P22" i="3"/>
  <c r="P26" i="3"/>
  <c r="P28" i="3"/>
  <c r="P25" i="3"/>
  <c r="P24" i="3"/>
  <c r="S28" i="3" l="1"/>
  <c r="S26" i="3"/>
  <c r="U26" i="3" s="1"/>
  <c r="S24" i="3"/>
  <c r="S22" i="3"/>
  <c r="S20" i="3"/>
  <c r="S21" i="3"/>
  <c r="S23" i="3"/>
  <c r="S25" i="3"/>
  <c r="S27" i="3"/>
  <c r="J29" i="3" a="1"/>
  <c r="J29" i="3" s="1"/>
  <c r="U23" i="3"/>
  <c r="U28" i="3"/>
  <c r="U20" i="3"/>
  <c r="U25" i="3"/>
  <c r="U24" i="3"/>
  <c r="U22" i="3"/>
  <c r="U21" i="3"/>
  <c r="U27" i="3"/>
  <c r="J30" i="3" l="1" a="1"/>
  <c r="J30" i="3" s="1"/>
  <c r="W27" i="3"/>
  <c r="W26" i="3"/>
  <c r="W24" i="3"/>
  <c r="W25" i="3"/>
  <c r="W28" i="3"/>
  <c r="W21" i="3"/>
  <c r="W22" i="3"/>
  <c r="W23" i="3"/>
  <c r="W20" i="3"/>
  <c r="X28" i="3" l="1"/>
  <c r="X23" i="3"/>
  <c r="X25" i="3"/>
  <c r="X20" i="3"/>
  <c r="X22" i="3"/>
  <c r="X24" i="3"/>
  <c r="X26" i="3"/>
  <c r="X21" i="3"/>
  <c r="X27" i="3"/>
  <c r="J31" i="3" a="1"/>
  <c r="J31" i="3" s="1"/>
  <c r="Y29" i="3" l="1"/>
  <c r="Y31" i="3"/>
  <c r="Z29" i="3"/>
  <c r="AA29" i="3"/>
  <c r="J32" i="3" a="1"/>
  <c r="J32" i="3" s="1"/>
  <c r="K32" i="3" s="1" a="1"/>
  <c r="K32" i="3" s="1"/>
  <c r="AB29" i="3" l="1"/>
  <c r="AC29" i="3"/>
  <c r="AD29" i="3"/>
  <c r="J33" i="3" a="1"/>
  <c r="J33" i="3" s="1"/>
  <c r="K33" i="3" s="1" a="1"/>
  <c r="K33" i="3" s="1"/>
  <c r="J34" i="3" l="1" a="1"/>
  <c r="J34" i="3" s="1"/>
  <c r="K34" i="3" s="1" a="1"/>
  <c r="K34" i="3" s="1"/>
  <c r="J35" i="3" l="1" a="1"/>
  <c r="J35" i="3" s="1"/>
  <c r="K35" i="3" s="1" a="1"/>
  <c r="K35" i="3" s="1"/>
  <c r="J36" i="3" l="1" a="1"/>
  <c r="J36" i="3" s="1"/>
  <c r="K36" i="3" s="1" a="1"/>
  <c r="K36" i="3" s="1"/>
  <c r="P35" i="3"/>
  <c r="P34" i="3"/>
  <c r="P36" i="3"/>
  <c r="P32" i="3"/>
  <c r="P33" i="3"/>
  <c r="S36" i="3" l="1"/>
  <c r="S34" i="3"/>
  <c r="U34" i="3" s="1"/>
  <c r="S32" i="3"/>
  <c r="S33" i="3"/>
  <c r="S35" i="3"/>
  <c r="J37" i="3" a="1"/>
  <c r="J37" i="3" s="1"/>
  <c r="U36" i="3"/>
  <c r="U33" i="3"/>
  <c r="U35" i="3"/>
  <c r="U32" i="3"/>
  <c r="J38" i="3" l="1" a="1"/>
  <c r="J38" i="3" s="1"/>
  <c r="W33" i="3"/>
  <c r="W36" i="3"/>
  <c r="W34" i="3"/>
  <c r="W32" i="3"/>
  <c r="W35" i="3"/>
  <c r="X32" i="3" l="1"/>
  <c r="X34" i="3"/>
  <c r="X36" i="3"/>
  <c r="X35" i="3"/>
  <c r="X33" i="3"/>
  <c r="J39" i="3" a="1"/>
  <c r="J39" i="3" s="1"/>
  <c r="AA36" i="3" l="1"/>
  <c r="AA32" i="3"/>
  <c r="Z35" i="3"/>
  <c r="AA37" i="3"/>
  <c r="Y35" i="3"/>
  <c r="Z24" i="3"/>
  <c r="AA24" i="3"/>
  <c r="AA15" i="3"/>
  <c r="Z25" i="3"/>
  <c r="AA20" i="3"/>
  <c r="AA27" i="3"/>
  <c r="Y15" i="3"/>
  <c r="Y26" i="3"/>
  <c r="Z23" i="3"/>
  <c r="Z16" i="3"/>
  <c r="Z21" i="3"/>
  <c r="Y20" i="3"/>
  <c r="Y28" i="3"/>
  <c r="AA28" i="3"/>
  <c r="Y14" i="3"/>
  <c r="AA22" i="3"/>
  <c r="AA26" i="3"/>
  <c r="Z27" i="3"/>
  <c r="Y16" i="3"/>
  <c r="Z26" i="3"/>
  <c r="AA16" i="3"/>
  <c r="AA21" i="3"/>
  <c r="Y23" i="3"/>
  <c r="Z22" i="3"/>
  <c r="Y25" i="3"/>
  <c r="AA23" i="3"/>
  <c r="Z14" i="3"/>
  <c r="AA25" i="3"/>
  <c r="Y21" i="3"/>
  <c r="Z15" i="3"/>
  <c r="Y24" i="3"/>
  <c r="Z20" i="3"/>
  <c r="AA14" i="3"/>
  <c r="Y27" i="3"/>
  <c r="Z28" i="3"/>
  <c r="Y22" i="3"/>
  <c r="Y36" i="3"/>
  <c r="Z32" i="3"/>
  <c r="Z37" i="3"/>
  <c r="AA35" i="3"/>
  <c r="AC35" i="3" s="1"/>
  <c r="Y32" i="3"/>
  <c r="Z36" i="3"/>
  <c r="Z33" i="3"/>
  <c r="AA34" i="3"/>
  <c r="Y34" i="3"/>
  <c r="AA33" i="3"/>
  <c r="Y37" i="3"/>
  <c r="Z34" i="3"/>
  <c r="Y33" i="3"/>
  <c r="J40" i="3" a="1"/>
  <c r="J40" i="3" s="1"/>
  <c r="AB36" i="3" l="1"/>
  <c r="AC32" i="3"/>
  <c r="AC37" i="3"/>
  <c r="AB21" i="3"/>
  <c r="AB14" i="3"/>
  <c r="AB26" i="3"/>
  <c r="AB16" i="3"/>
  <c r="AB20" i="3"/>
  <c r="AB33" i="3"/>
  <c r="AB35" i="3"/>
  <c r="AD22" i="3"/>
  <c r="AC22" i="3"/>
  <c r="AD33" i="3"/>
  <c r="AD28" i="3"/>
  <c r="AC28" i="3"/>
  <c r="AD27" i="3"/>
  <c r="AC27" i="3"/>
  <c r="AC15" i="3"/>
  <c r="AB15" i="3"/>
  <c r="AC23" i="3"/>
  <c r="AD23" i="3"/>
  <c r="AB23" i="3"/>
  <c r="AD16" i="3"/>
  <c r="AC16" i="3"/>
  <c r="AB28" i="3"/>
  <c r="AD15" i="3"/>
  <c r="AC25" i="3"/>
  <c r="AD25" i="3"/>
  <c r="AB22" i="3"/>
  <c r="AC20" i="3"/>
  <c r="AD20" i="3"/>
  <c r="AD35" i="3"/>
  <c r="AB25" i="3"/>
  <c r="AB27" i="3"/>
  <c r="AC24" i="3"/>
  <c r="AD24" i="3"/>
  <c r="AD21" i="3"/>
  <c r="AC21" i="3"/>
  <c r="AD14" i="3"/>
  <c r="AC14" i="3"/>
  <c r="AC26" i="3"/>
  <c r="AD26" i="3"/>
  <c r="AB24" i="3"/>
  <c r="AB32" i="3"/>
  <c r="AD32" i="3"/>
  <c r="AC34" i="3"/>
  <c r="AD36" i="3"/>
  <c r="AB34" i="3"/>
  <c r="AC36" i="3"/>
  <c r="AD37" i="3"/>
  <c r="AB37" i="3"/>
  <c r="AC33" i="3"/>
  <c r="AD34" i="3"/>
  <c r="J41" i="3" a="1"/>
  <c r="J41" i="3" s="1"/>
  <c r="J42" i="3" l="1" a="1"/>
  <c r="J42" i="3" s="1"/>
  <c r="J43" i="3" l="1" a="1"/>
  <c r="J43" i="3" s="1"/>
  <c r="J44" i="3" l="1" a="1"/>
  <c r="J44" i="3" s="1"/>
  <c r="J45" i="3" l="1" a="1"/>
  <c r="J45" i="3" s="1"/>
  <c r="J46" i="3" l="1" a="1"/>
  <c r="J46" i="3" s="1"/>
  <c r="J47" i="3" l="1" a="1"/>
  <c r="J47" i="3" s="1"/>
  <c r="J48" i="3" l="1" a="1"/>
  <c r="J48" i="3" s="1"/>
  <c r="J50" i="3" l="1" a="1"/>
  <c r="J50" i="3" s="1"/>
  <c r="J49" i="3" a="1"/>
  <c r="J49"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BF03A-B52B-4A89-A065-61752595D8E9}"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<sst xmlns="http://schemas.openxmlformats.org/spreadsheetml/2006/main" count="258" uniqueCount="104">
  <si>
    <t>General</t>
  </si>
  <si>
    <t>Starting Year:</t>
  </si>
  <si>
    <t>Set the starting year (yyyy) once at the beginning and do not change it again.</t>
  </si>
  <si>
    <t>Define starting year in Settings →</t>
  </si>
  <si>
    <t>Income</t>
  </si>
  <si>
    <t>Enter Income Category…</t>
  </si>
  <si>
    <t>Total</t>
  </si>
  <si>
    <t>Employment (Net)</t>
  </si>
  <si>
    <t>Side Hustle (Net)</t>
  </si>
  <si>
    <t>Dividends</t>
  </si>
  <si>
    <t>Expenses</t>
  </si>
  <si>
    <t>Housing</t>
  </si>
  <si>
    <t>Groceries</t>
  </si>
  <si>
    <t>Utilities</t>
  </si>
  <si>
    <t>Enter Expenses Category…</t>
  </si>
  <si>
    <t>Savings</t>
  </si>
  <si>
    <t>Emergency Fund</t>
  </si>
  <si>
    <t>Retirement Account</t>
  </si>
  <si>
    <t>Stock Portfolio</t>
  </si>
  <si>
    <t>Enter Savings Category…</t>
  </si>
  <si>
    <t>To Be Allocated:</t>
  </si>
  <si>
    <t>Transportation</t>
  </si>
  <si>
    <t>Insurances</t>
  </si>
  <si>
    <t>Clothing</t>
  </si>
  <si>
    <t>Body Care &amp; Medicine</t>
  </si>
  <si>
    <t>Media</t>
  </si>
  <si>
    <t>Fun &amp; Vacation</t>
  </si>
  <si>
    <t>Sinking Fund Down Payment</t>
  </si>
  <si>
    <t>Sinking Fund Rest</t>
  </si>
  <si>
    <t>Date</t>
  </si>
  <si>
    <t>Type</t>
  </si>
  <si>
    <t>Category</t>
  </si>
  <si>
    <t>Amount</t>
  </si>
  <si>
    <t>Details</t>
  </si>
  <si>
    <t>Balance</t>
  </si>
  <si>
    <t>Effective Date</t>
  </si>
  <si>
    <t>Budget Tracking &amp; Dashboard</t>
  </si>
  <si>
    <t>Late Monthly Income</t>
  </si>
  <si>
    <t>Active</t>
  </si>
  <si>
    <t>Starting on day x in month:</t>
  </si>
  <si>
    <t>Shift late income:</t>
  </si>
  <si>
    <t xml:space="preserve">Activate this option to treat late income received on or after a certain day of the month as income for the next month. This is especially recommended in case you receive your monthly paycheque after the 20th on any month and prefer to consider this income as the disposable income for the next month. </t>
  </si>
  <si>
    <t>Worksheet: Budget Tracking</t>
  </si>
  <si>
    <t>Today:</t>
  </si>
  <si>
    <t>Last Record:</t>
  </si>
  <si>
    <t>Delta Last Record:</t>
  </si>
  <si>
    <t># Records:</t>
  </si>
  <si>
    <t># Records This Year:</t>
  </si>
  <si>
    <t>Tracking Balance:</t>
  </si>
  <si>
    <t>Balance Analysis Text:</t>
  </si>
  <si>
    <t>Breakdown+C:X</t>
  </si>
  <si>
    <t>Year</t>
  </si>
  <si>
    <t>Select the year to view →</t>
  </si>
  <si>
    <t>Period</t>
  </si>
  <si>
    <t>Select the period to view →</t>
  </si>
  <si>
    <t>Year Dropdown</t>
  </si>
  <si>
    <t>Current Year</t>
  </si>
  <si>
    <t>Period Dropdown</t>
  </si>
  <si>
    <t>Total Year</t>
  </si>
  <si>
    <t>Current Month</t>
  </si>
  <si>
    <t>Worksheet: Budget Dashboard</t>
  </si>
  <si>
    <t>Selected Year:</t>
  </si>
  <si>
    <t>Selected Period:</t>
  </si>
  <si>
    <t>Selected Period (Display):</t>
  </si>
  <si>
    <t>row_id</t>
  </si>
  <si>
    <t>header_row_id</t>
  </si>
  <si>
    <t>is_header</t>
  </si>
  <si>
    <t>is_category</t>
  </si>
  <si>
    <t>is_total</t>
  </si>
  <si>
    <t>is_empty</t>
  </si>
  <si>
    <t>type</t>
  </si>
  <si>
    <t>item</t>
  </si>
  <si>
    <t>tracked</t>
  </si>
  <si>
    <t>budget</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</si>
  <si>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</si>
  <si>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</si>
  <si>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</si>
  <si>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</si>
  <si>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</si>
  <si>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</si>
  <si>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</si>
  <si>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</si>
  <si>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</si>
  <si>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</si>
  <si>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</si>
  <si>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</si>
  <si>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r>
      <rPr>
        <b/>
        <sz val="11"/>
        <color theme="3" tint="0.499984740745262"/>
        <rFont val="Aptos Narrow"/>
        <family val="2"/>
        <scheme val="minor"/>
      </rPr>
      <t xml:space="preserve">Chart Calculations: </t>
    </r>
    <r>
      <rPr>
        <sz val="11"/>
        <color theme="3" tint="0.499984740745262"/>
        <rFont val="Aptos Narrow"/>
        <family val="2"/>
        <scheme val="minor"/>
      </rPr>
      <t>Category Distribution Charts</t>
    </r>
  </si>
  <si>
    <t>Income 1</t>
  </si>
  <si>
    <t>Income 2</t>
  </si>
  <si>
    <t>Income 3</t>
  </si>
  <si>
    <t>Income 4</t>
  </si>
  <si>
    <t>Income 5</t>
  </si>
  <si>
    <t>Other</t>
  </si>
  <si>
    <t>Expense 1</t>
  </si>
  <si>
    <t>Expense 2</t>
  </si>
  <si>
    <t>Expense 3</t>
  </si>
  <si>
    <t>Expense 4</t>
  </si>
  <si>
    <t>Expense 5</t>
  </si>
  <si>
    <t>Saving 1</t>
  </si>
  <si>
    <t>Saving 2</t>
  </si>
  <si>
    <t>Saving 3</t>
  </si>
  <si>
    <t>Saving 4</t>
  </si>
  <si>
    <t>Saving 5</t>
  </si>
  <si>
    <t>STOPPED VIDEO AT 4 HOUR 07 MINS AND 20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</si>
</sst>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mmm"/>
    <numFmt numFmtId="165" formatCode="_-* #,##0_-;\-* #,##0_-;_-* &quot;-&quot;??_-;_-@_-"/>
    <numFmt numFmtId="166" formatCode="d/mmm/yy"/>
    <numFmt numFmtId="167" formatCode="mmmm"/>
  </numFmts>
  <fonts count="2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ptos Narrow"/>
      <family val="2"/>
      <scheme val="minor"/>
    </font>
    <font>
      <sz val="9"/>
      <color theme="1"/>
      <name val="Aptos Narrow"/>
      <family val="2"/>
      <scheme val="minor"/>
    </font>
    <font>
      <i/>
      <sz val="9"/>
      <color theme="0" tint="-0.499984740745262"/>
      <name val="Aptos Narrow"/>
      <family val="2"/>
      <scheme val="minor"/>
    </font>
    <font>
      <b/>
      <sz val="11"/>
      <color theme="1"/>
      <name val="Aptos Narrow"/>
      <family val="2"/>
    </font>
    <font>
      <b/>
      <sz val="10"/>
      <color theme="0"/>
      <name val="Aptos Narrow"/>
      <family val="2"/>
      <scheme val="minor"/>
    </font>
    <font>
      <sz val="10"/>
      <color theme="1" tint="0.34998626667073579"/>
      <name val="Aptos Narrow"/>
      <family val="2"/>
      <scheme val="minor"/>
    </font>
    <font>
      <sz val="9"/>
      <color theme="1" tint="0.34998626667073579"/>
      <name val="Aptos Narrow"/>
      <family val="2"/>
      <scheme val="minor"/>
    </font>
    <font>
      <b/>
      <sz val="9"/>
      <color theme="1" tint="0.34998626667073579"/>
      <name val="Aptos Narrow"/>
      <family val="2"/>
      <scheme val="minor"/>
    </font>
    <font>
      <b/>
      <sz val="9"/>
      <color theme="1"/>
      <name val="Aptos Narrow"/>
      <family val="2"/>
      <scheme val="minor"/>
    </font>
    <font>
      <i/>
      <sz val="10"/>
      <color theme="1"/>
      <name val="Aptos Narrow"/>
      <family val="2"/>
      <scheme val="minor"/>
    </font>
    <font>
      <sz val="10"/>
      <color theme="0" tint="-0.499984740745262"/>
      <name val="Aptos Narrow"/>
      <family val="2"/>
      <scheme val="minor"/>
    </font>
    <font>
      <sz val="11"/>
      <color theme="0" tint="-0.499984740745262"/>
      <name val="Aptos Narrow"/>
      <family val="2"/>
      <scheme val="minor"/>
    </font>
    <font>
      <b/>
      <sz val="11"/>
      <color theme="8"/>
      <name val="Aptos Narrow"/>
      <family val="2"/>
      <scheme val="minor"/>
    </font>
    <font>
      <sz val="10"/>
      <color theme="0" tint="-0.14999847407452621"/>
      <name val="Aptos Narrow"/>
      <family val="2"/>
      <scheme val="minor"/>
    </font>
    <font>
      <b/>
      <sz val="9"/>
      <color theme="0"/>
      <name val="Aptos Narrow"/>
      <family val="2"/>
      <scheme val="minor"/>
    </font>
    <font>
      <i/>
      <sz val="9"/>
      <color theme="0" tint="-0.34998626667073579"/>
      <name val="Aptos Narrow"/>
      <family val="2"/>
      <scheme val="minor"/>
    </font>
    <font>
      <sz val="8"/>
      <color theme="1"/>
      <name val="Aptos Narrow"/>
      <family val="2"/>
      <scheme val="minor"/>
    </font>
    <font>
      <sz val="10.5"/>
      <color theme="1"/>
      <name val="Aptos Narrow"/>
      <family val="2"/>
      <scheme val="minor"/>
    </font>
    <font>
      <sz val="11"/>
      <color theme="3" tint="0.499984740745262"/>
      <name val="Aptos Narrow"/>
      <family val="2"/>
      <scheme val="minor"/>
    </font>
    <font>
      <b/>
      <sz val="11"/>
      <color theme="3" tint="0.499984740745262"/>
      <name val="Aptos Narrow"/>
      <family val="2"/>
      <scheme val="minor"/>
    </font>
    <font>
      <sz val="8"/>
      <name val="Aptos Narrow"/>
      <family val="2"/>
      <scheme val="minor"/>
    </font>
  </fonts>
  <fills count="11">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9" tint="-0.249977111117893"/>
        <bgColor indexed="64"/>
      </patternFill>
    </fill>
    <fill>
      <patternFill patternType="solid">
        <fgColor rgb="FFFF5050"/>
        <bgColor indexed="64"/>
      </patternFill>
    </fill>
    <fill>
      <patternFill patternType="solid">
        <fgColor rgb="FF0033CC"/>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6" tint="0.79998168889431442"/>
        <bgColor indexed="64"/>
      </patternFill>
    </fill>
  </fills>
  <borders count="26">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theme="2" tint="-0.24994659260841701"/>
      </right>
      <top/>
      <bottom/>
      <diagonal/>
    </border>
    <border>
      <left/>
      <right/>
      <top/>
      <bottom style="thin">
        <color theme="2" tint="-0.24994659260841701"/>
      </bottom>
      <diagonal/>
    </border>
    <border>
      <left style="thin">
        <color theme="2" tint="-0.24994659260841701"/>
      </left>
      <right/>
      <top/>
      <bottom/>
      <diagonal/>
    </border>
    <border>
      <left/>
      <right style="thin">
        <color theme="2" tint="-0.24994659260841701"/>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auto="1"/>
      </top>
      <bottom style="thin">
        <color auto="1"/>
      </bottom>
      <diagonal/>
    </border>
    <border>
      <left/>
      <right/>
      <top/>
      <bottom style="thin">
        <color indexed="64"/>
      </bottom>
      <diagonal/>
    </border>
    <border>
      <left/>
      <right/>
      <top style="dotted">
        <color auto="1"/>
      </top>
      <bottom style="double">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4" fillId="3" borderId="0" xfId="0" applyFont="1" applyFill="1" applyAlignment="1">
      <alignment horizontal="center" vertical="center"/>
    </xf>
    <xf numFmtId="0" fontId="6" fillId="0" borderId="0" xfId="0" applyFont="1"/>
    <xf numFmtId="0" fontId="7" fillId="0" borderId="0" xfId="0" applyFont="1"/>
    <xf numFmtId="0" fontId="6" fillId="0" borderId="0" xfId="0" applyFont="1" applyAlignment="1">
      <alignment horizontal="right" vertical="center"/>
    </xf>
    <xf numFmtId="0" fontId="3" fillId="0" borderId="0" xfId="0" applyFont="1" applyAlignment="1">
      <alignment horizontal="left" indent="1"/>
    </xf>
    <xf numFmtId="0" fontId="3" fillId="0" borderId="6" xfId="0" applyFont="1" applyBorder="1" applyAlignment="1">
      <alignment horizontal="left" indent="1"/>
    </xf>
    <xf numFmtId="0" fontId="8" fillId="4" borderId="0" xfId="0" applyFont="1" applyFill="1" applyAlignment="1">
      <alignment horizontal="center" vertical="center"/>
    </xf>
    <xf numFmtId="164" fontId="8" fillId="4" borderId="0" xfId="0" applyNumberFormat="1" applyFont="1" applyFill="1" applyAlignment="1">
      <alignment horizontal="center" vertical="center"/>
    </xf>
    <xf numFmtId="0" fontId="9" fillId="0" borderId="0" xfId="0" applyFont="1" applyAlignment="1">
      <alignment horizontal="left" indent="1"/>
    </xf>
    <xf numFmtId="165" fontId="10" fillId="0" borderId="6" xfId="1" applyNumberFormat="1" applyFont="1" applyFill="1" applyBorder="1"/>
    <xf numFmtId="165" fontId="11" fillId="0" borderId="6" xfId="1" applyNumberFormat="1" applyFont="1" applyFill="1" applyBorder="1"/>
    <xf numFmtId="164" fontId="8" fillId="5" borderId="0" xfId="0" applyNumberFormat="1" applyFont="1" applyFill="1" applyAlignment="1">
      <alignment horizontal="center" vertical="center"/>
    </xf>
    <xf numFmtId="0" fontId="8" fillId="5" borderId="0" xfId="0" applyFont="1" applyFill="1" applyAlignment="1">
      <alignment horizontal="center" vertical="center"/>
    </xf>
    <xf numFmtId="164" fontId="8" fillId="6" borderId="0" xfId="0" applyNumberFormat="1" applyFont="1" applyFill="1" applyAlignment="1">
      <alignment horizontal="center" vertical="center"/>
    </xf>
    <xf numFmtId="0" fontId="8" fillId="6" borderId="0" xfId="0" applyFont="1" applyFill="1" applyAlignment="1">
      <alignment horizontal="center" vertical="center"/>
    </xf>
    <xf numFmtId="0" fontId="13" fillId="0" borderId="0" xfId="0" applyFont="1" applyAlignment="1">
      <alignment horizontal="right"/>
    </xf>
    <xf numFmtId="165" fontId="5" fillId="0" borderId="6" xfId="0" applyNumberFormat="1" applyFont="1" applyBorder="1"/>
    <xf numFmtId="165" fontId="12" fillId="0" borderId="6" xfId="0" applyNumberFormat="1" applyFont="1" applyBorder="1"/>
    <xf numFmtId="0" fontId="12" fillId="0" borderId="6" xfId="0" applyFont="1" applyBorder="1" applyAlignment="1">
      <alignment horizontal="center" vertical="center"/>
    </xf>
    <xf numFmtId="0" fontId="0" fillId="0" borderId="0" xfId="0" applyAlignment="1">
      <alignment horizontal="left" vertical="center" indent="1"/>
    </xf>
    <xf numFmtId="0" fontId="4" fillId="0" borderId="0" xfId="0" applyFont="1" applyAlignment="1">
      <alignment horizontal="left" indent="1"/>
    </xf>
    <xf numFmtId="166" fontId="4" fillId="0" borderId="0" xfId="0" applyNumberFormat="1" applyFont="1" applyAlignment="1">
      <alignment horizontal="left" indent="1"/>
    </xf>
    <xf numFmtId="165" fontId="4" fillId="0" borderId="0" xfId="1" applyNumberFormat="1" applyFont="1" applyAlignment="1">
      <alignment horizontal="left" indent="1"/>
    </xf>
    <xf numFmtId="0" fontId="14" fillId="0" borderId="0" xfId="0" applyFont="1" applyAlignment="1">
      <alignment horizontal="left" indent="1"/>
    </xf>
    <xf numFmtId="0" fontId="15" fillId="7" borderId="0" xfId="0" applyFont="1" applyFill="1" applyAlignment="1">
      <alignment horizontal="left" vertical="center" indent="1"/>
    </xf>
    <xf numFmtId="165" fontId="14" fillId="0" borderId="0" xfId="1" applyNumberFormat="1" applyFont="1" applyAlignment="1">
      <alignment horizontal="left" inden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16" fillId="0" borderId="0" xfId="0" applyFont="1" applyAlignment="1">
      <alignment horizontal="left"/>
    </xf>
    <xf numFmtId="166" fontId="17" fillId="0" borderId="0" xfId="0" applyNumberFormat="1" applyFont="1" applyAlignment="1">
      <alignment horizontal="right" indent="1"/>
    </xf>
    <xf numFmtId="166" fontId="0" fillId="0" borderId="0" xfId="0" applyNumberFormat="1"/>
    <xf numFmtId="165" fontId="0" fillId="0" borderId="0" xfId="1" applyNumberFormat="1" applyFont="1"/>
    <xf numFmtId="0" fontId="0" fillId="8" borderId="0" xfId="0" applyFill="1"/>
    <xf numFmtId="0" fontId="8" fillId="0" borderId="0" xfId="0" applyFont="1"/>
    <xf numFmtId="0" fontId="2" fillId="8" borderId="0" xfId="0" applyFont="1" applyFill="1" applyAlignment="1">
      <alignment horizontal="center"/>
    </xf>
    <xf numFmtId="0" fontId="4" fillId="0" borderId="11" xfId="0" applyFont="1" applyBorder="1" applyAlignment="1">
      <alignment horizontal="center" vertical="center"/>
    </xf>
    <xf numFmtId="0" fontId="4" fillId="0" borderId="10" xfId="0" applyFont="1" applyBorder="1" applyAlignment="1">
      <alignment horizontal="center" vertical="center"/>
    </xf>
    <xf numFmtId="15" fontId="4" fillId="0" borderId="0" xfId="0" applyNumberFormat="1" applyFont="1" applyAlignment="1">
      <alignment horizontal="center" vertical="center"/>
    </xf>
    <xf numFmtId="167" fontId="4" fillId="0" borderId="11" xfId="0" applyNumberFormat="1" applyFont="1" applyBorder="1" applyAlignment="1">
      <alignment horizontal="center" vertical="center"/>
    </xf>
    <xf numFmtId="167" fontId="4" fillId="0" borderId="10" xfId="0" applyNumberFormat="1" applyFont="1" applyBorder="1" applyAlignment="1">
      <alignment horizontal="center" vertical="center"/>
    </xf>
    <xf numFmtId="0" fontId="3" fillId="0" borderId="12" xfId="0" applyFont="1" applyBorder="1"/>
    <xf numFmtId="0" fontId="0" fillId="0" borderId="12" xfId="0" applyBorder="1"/>
    <xf numFmtId="0" fontId="0" fillId="0" borderId="0" xfId="0" applyAlignment="1">
      <alignment horizontal="right"/>
    </xf>
    <xf numFmtId="0" fontId="20" fillId="9" borderId="0" xfId="0" applyFont="1" applyFill="1" applyAlignment="1">
      <alignment horizontal="center" vertical="center"/>
    </xf>
    <xf numFmtId="0" fontId="20" fillId="9" borderId="13" xfId="0" applyFont="1" applyFill="1" applyBorder="1" applyAlignment="1">
      <alignment horizontal="center" vertical="center"/>
    </xf>
    <xf numFmtId="0" fontId="20" fillId="9" borderId="14" xfId="0" applyFont="1" applyFill="1" applyBorder="1" applyAlignment="1">
      <alignment horizontal="center" vertical="center"/>
    </xf>
    <xf numFmtId="0" fontId="0" fillId="0" borderId="13" xfId="0" applyBorder="1"/>
    <xf numFmtId="0" fontId="0" fillId="0" borderId="14" xfId="0" applyBorder="1"/>
    <xf numFmtId="165" fontId="0" fillId="0" borderId="0" xfId="0" applyNumberFormat="1"/>
    <xf numFmtId="165" fontId="0" fillId="0" borderId="0" xfId="1" applyNumberFormat="1" applyFont="1" applyBorder="1"/>
    <xf numFmtId="165" fontId="0" fillId="0" borderId="14" xfId="1" applyNumberFormat="1" applyFont="1" applyBorder="1"/>
    <xf numFmtId="0" fontId="20" fillId="9" borderId="11" xfId="0" applyFont="1" applyFill="1" applyBorder="1" applyAlignment="1">
      <alignment horizontal="center" vertical="center"/>
    </xf>
    <xf numFmtId="0" fontId="0" fillId="0" borderId="11" xfId="0" applyBorder="1"/>
    <xf numFmtId="0" fontId="21" fillId="0" borderId="0" xfId="0" applyFont="1" applyAlignment="1">
      <alignment vertical="center"/>
    </xf>
    <xf numFmtId="9" fontId="21" fillId="0" borderId="0" xfId="2" applyFont="1" applyAlignment="1">
      <alignment horizontal="center" vertical="center"/>
    </xf>
    <xf numFmtId="165" fontId="21" fillId="0" borderId="0" xfId="1" applyNumberFormat="1" applyFont="1" applyAlignment="1">
      <alignment horizontal="center" vertical="center"/>
    </xf>
    <xf numFmtId="165" fontId="21" fillId="0" borderId="0" xfId="1" quotePrefix="1" applyNumberFormat="1" applyFont="1" applyAlignment="1">
      <alignment horizontal="center" vertical="center"/>
    </xf>
    <xf numFmtId="0" fontId="3" fillId="4" borderId="0" xfId="0" applyFont="1" applyFill="1" applyAlignment="1">
      <alignment horizontal="left" indent="1"/>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22" fillId="0" borderId="23" xfId="0" applyFont="1" applyBorder="1"/>
    <xf numFmtId="0" fontId="3" fillId="0" borderId="24" xfId="0" applyFont="1" applyBorder="1" applyAlignment="1">
      <alignment horizontal="center"/>
    </xf>
    <xf numFmtId="0" fontId="0" fillId="0" borderId="0" xfId="0" applyAlignment="1">
      <alignment horizontal="center"/>
    </xf>
    <xf numFmtId="0" fontId="0" fillId="0" borderId="25" xfId="0" applyBorder="1" applyAlignment="1">
      <alignment horizontal="center"/>
    </xf>
    <xf numFmtId="0" fontId="3" fillId="0" borderId="0" xfId="0" applyFont="1" applyAlignment="1">
      <alignment horizontal="center"/>
    </xf>
    <xf numFmtId="165" fontId="0" fillId="0" borderId="0" xfId="1" applyNumberFormat="1" applyFont="1" applyAlignment="1">
      <alignment horizontal="center"/>
    </xf>
    <xf numFmtId="165" fontId="0" fillId="0" borderId="25" xfId="1" applyNumberFormat="1" applyFont="1" applyBorder="1" applyAlignment="1">
      <alignment horizontal="center"/>
    </xf>
    <xf numFmtId="165" fontId="3" fillId="0" borderId="0" xfId="1" applyNumberFormat="1" applyFont="1" applyAlignment="1">
      <alignment horizontal="center"/>
    </xf>
    <xf numFmtId="0" fontId="8" fillId="8" borderId="0" xfId="0" applyFont="1" applyFill="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10" borderId="9" xfId="0" applyFont="1" applyFill="1" applyBorder="1" applyAlignment="1">
      <alignment horizontal="center" vertical="center"/>
    </xf>
    <xf numFmtId="0" fontId="19" fillId="0" borderId="0" xfId="0" applyFont="1" applyAlignment="1">
      <alignment horizontal="right" vertical="center" indent="1"/>
    </xf>
    <xf numFmtId="167" fontId="4" fillId="10" borderId="9" xfId="0" applyNumberFormat="1" applyFont="1" applyFill="1" applyBorder="1" applyAlignment="1">
      <alignment horizontal="center" vertical="center"/>
    </xf>
    <xf numFmtId="0" fontId="2" fillId="2" borderId="0" xfId="0" applyFont="1" applyFill="1" applyAlignment="1">
      <alignment horizontal="center" vertical="center"/>
    </xf>
    <xf numFmtId="0" fontId="6" fillId="0" borderId="0" xfId="0" applyFont="1" applyAlignment="1">
      <alignment horizontal="left" vertical="top" wrapText="1"/>
    </xf>
    <xf numFmtId="0" fontId="18" fillId="8" borderId="0" xfId="0" applyFont="1" applyFill="1" applyAlignment="1">
      <alignment horizontal="left" vertical="center" indent="1"/>
    </xf>
  </cellXfs>
  <cellStyles count="3">
    <cellStyle name="Comma" xfId="1" builtinId="3"/>
    <cellStyle name="Normal" xfId="0" builtinId="0"/>
    <cellStyle name="Percent" xfId="2" builtinId="5"/>
  </cellStyles>
  <dxfs count="44">
    <dxf>
      <fill>
        <patternFill>
          <bgColor theme="4" tint="0.39994506668294322"/>
        </patternFill>
      </fill>
    </dxf>
    <dxf>
      <fill>
        <patternFill>
          <bgColor rgb="FFFF7C80"/>
        </patternFill>
      </fill>
    </dxf>
    <dxf>
      <fill>
        <patternFill>
          <bgColor theme="9" tint="0.39994506668294322"/>
        </patternFill>
      </fill>
    </dxf>
    <dxf>
      <font>
        <b/>
        <i val="0"/>
      </font>
      <border>
        <top style="thin">
          <color auto="1"/>
        </top>
        <vertical/>
        <horizontal/>
      </border>
    </dxf>
    <dxf>
      <font>
        <b/>
        <i val="0"/>
        <color theme="0"/>
      </font>
      <fill>
        <patternFill>
          <bgColor theme="3" tint="0.24994659260841701"/>
        </patternFill>
      </fill>
    </dxf>
    <dxf>
      <font>
        <b/>
        <i val="0"/>
        <color theme="0"/>
      </font>
      <fill>
        <patternFill>
          <bgColor rgb="FFFF5050"/>
        </patternFill>
      </fill>
    </dxf>
    <dxf>
      <font>
        <b/>
        <i val="0"/>
        <color theme="0"/>
      </font>
      <fill>
        <patternFill>
          <bgColor theme="9" tint="-0.24994659260841701"/>
        </patternFill>
      </fill>
    </dxf>
    <dxf>
      <font>
        <color theme="0" tint="-0.499984740745262"/>
      </font>
      <numFmt numFmtId="168" formatCode="\→\ d/mmm/yy"/>
    </dxf>
    <dxf>
      <font>
        <b/>
        <i val="0"/>
        <color theme="6" tint="0.39994506668294322"/>
      </font>
      <numFmt numFmtId="169" formatCode="#,##0_ ;\-#,##0\ "/>
    </dxf>
    <dxf>
      <font>
        <color rgb="FFFF0000"/>
      </font>
      <fill>
        <patternFill>
          <fgColor auto="1"/>
        </patternFill>
      </fill>
    </dxf>
    <dxf>
      <font>
        <color rgb="FFC00000"/>
      </font>
    </dxf>
    <dxf>
      <font>
        <color theme="9" tint="-0.24994659260841701"/>
      </font>
    </dxf>
    <dxf>
      <font>
        <color theme="0" tint="-0.24994659260841701"/>
      </font>
    </dxf>
    <dxf>
      <font>
        <color theme="1"/>
      </font>
      <fill>
        <patternFill>
          <bgColor theme="4" tint="0.39994506668294322"/>
        </patternFill>
      </fill>
    </dxf>
    <dxf>
      <font>
        <color theme="1"/>
      </font>
      <fill>
        <patternFill>
          <bgColor rgb="FFFF7C80"/>
        </patternFill>
      </fill>
    </dxf>
    <dxf>
      <font>
        <color theme="1"/>
      </font>
      <fill>
        <patternFill>
          <bgColor theme="9" tint="0.59996337778862885"/>
        </patternFill>
      </fill>
    </dxf>
    <dxf>
      <font>
        <color theme="0" tint="-0.24994659260841701"/>
      </font>
      <fill>
        <patternFill>
          <bgColor theme="0" tint="-4.9989318521683403E-2"/>
        </patternFill>
      </fill>
    </dxf>
    <dxf>
      <font>
        <strike val="0"/>
        <outline val="0"/>
        <shadow val="0"/>
        <u val="none"/>
        <vertAlign val="baseline"/>
        <sz val="10"/>
        <color theme="0" tint="-0.14999847407452621"/>
        <name val="Aptos Narrow"/>
        <family val="2"/>
        <scheme val="minor"/>
      </font>
      <numFmt numFmtId="166" formatCode="d/mmm/yy"/>
      <alignment horizontal="right" vertical="bottom" textRotation="0" wrapText="0" indent="1" justifyLastLine="0" shrinkToFit="0" readingOrder="0"/>
    </dxf>
    <dxf>
      <font>
        <strike val="0"/>
        <outline val="0"/>
        <shadow val="0"/>
        <u val="none"/>
        <vertAlign val="baseline"/>
        <sz val="10"/>
        <color theme="0" tint="-0.499984740745262"/>
        <name val="Aptos Narrow"/>
        <family val="2"/>
        <scheme val="minor"/>
      </font>
      <numFmt numFmtId="165" formatCode="_-* #,##0_-;\-* #,##0_-;_-* &quot;-&quot;??_-;_-@_-"/>
      <alignment horizontal="left" vertical="bottom" textRotation="0" wrapText="0" relativeIndent="1" justifyLastLine="0" shrinkToFit="0" readingOrder="0"/>
    </dxf>
    <dxf>
      <font>
        <strike val="0"/>
        <outline val="0"/>
        <shadow val="0"/>
        <u val="none"/>
        <vertAlign val="baseline"/>
        <sz val="10"/>
        <color theme="0" tint="-0.499984740745262"/>
        <name val="Aptos Narrow"/>
        <family val="2"/>
        <scheme val="minor"/>
      </font>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numFmt numFmtId="165" formatCode="_-* #,##0_-;\-* #,##0_-;_-* &quot;-&quot;??_-;_-@_-"/>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numFmt numFmtId="166" formatCode="d/mmm/yy"/>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alignment horizontal="left" vertical="center" textRotation="0" wrapText="0" relative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0"/>
        <color theme="1" tint="0.34998626667073579"/>
        <name val="Aptos Narrow"/>
        <family val="2"/>
        <scheme val="minor"/>
      </font>
      <fill>
        <patternFill patternType="none">
          <fgColor indexed="64"/>
          <bgColor auto="1"/>
        </patternFill>
      </fill>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9" tint="-0.249977111117893"/>
        </patternFill>
      </fill>
      <alignment horizontal="left" vertical="bottom" textRotation="0" wrapText="0" indent="1" justifyLastLine="0" shrinkToFit="0" readingOrder="0"/>
    </dxf>
    <dxf>
      <fill>
        <patternFill>
          <bgColor theme="0" tint="-4.9989318521683403E-2"/>
        </patternFill>
      </fill>
    </dxf>
    <dxf>
      <font>
        <b/>
        <i val="0"/>
        <color theme="0"/>
      </font>
      <fill>
        <patternFill>
          <fgColor auto="1"/>
          <bgColor rgb="FF0000FF"/>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fgColor auto="1"/>
          <bgColor rgb="FF0033CC"/>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theme="9" tint="-0.24994659260841701"/>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FF5050"/>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pivot="0" count="2" xr9:uid="{B04B72A9-9606-42FD-8423-AA8BFDDC60C4}">
      <tableStyleElement type="wholeTable" dxfId="43"/>
      <tableStyleElement type="headerRow" dxfId="42"/>
    </tableStyle>
    <tableStyle name="Income Table Style" pivot="0" count="2" xr9:uid="{CEBC9617-6331-4BEB-B6CE-55A0FC3E42AD}">
      <tableStyleElement type="wholeTable" dxfId="41"/>
      <tableStyleElement type="headerRow" dxfId="40"/>
    </tableStyle>
    <tableStyle name="Savings Table Style" pivot="0" count="2" xr9:uid="{648A695A-F34D-4499-8628-7E4BB4C7BC85}">
      <tableStyleElement type="wholeTable" dxfId="39"/>
      <tableStyleElement type="headerRow" dxfId="38"/>
    </tableStyle>
    <tableStyle name="Tracking table Style" pivot="0" count="3" xr9:uid="{B2A199C9-C16A-4132-977C-3E9ADFFBBA3A}">
      <tableStyleElement type="wholeTable" dxfId="37"/>
      <tableStyleElement type="headerRow" dxfId="36"/>
      <tableStyleElement type="firstRowStripe" dxfId="35"/>
    </tableStyle>
  </tableStyles>
  <colors>
    <mruColors>
      <color rgb="FFFF7C80"/>
      <color rgb="FFFF5050"/>
      <color rgb="FFFFFFFF"/>
      <color rgb="FFB5E6A2"/>
      <color rgb="FF44B3E1"/>
      <color rgb="FF0000FF"/>
      <color rgb="FF0033CC"/>
      <color rgb="FF0066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413F-4E50-A1A6-25AF7ECBA0D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13F-4E50-A1A6-25AF7ECBA0D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413F-4E50-A1A6-25AF7ECBA0DF}"/>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413F-4E50-A1A6-25AF7ECBA0DF}"/>
              </c:ext>
            </c:extLst>
          </c:dPt>
          <c:dPt>
            <c:idx val="4"/>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9-413F-4E50-A1A6-25AF7ECBA0DF}"/>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413F-4E50-A1A6-25AF7ECBA0DF}"/>
              </c:ext>
            </c:extLst>
          </c:dPt>
          <c:cat>
            <c:strRef>
              <c:f>Calculations!$E$35:$E$40</c:f>
              <c:strCache>
                <c:ptCount val="6"/>
                <c:pt idx="0">
                  <c:v>Income 1</c:v>
                </c:pt>
                <c:pt idx="1">
                  <c:v>Income 2</c:v>
                </c:pt>
                <c:pt idx="2">
                  <c:v>Income 3</c:v>
                </c:pt>
                <c:pt idx="3">
                  <c:v>Income 4</c:v>
                </c:pt>
                <c:pt idx="4">
                  <c:v>Income 5</c:v>
                </c:pt>
                <c:pt idx="5">
                  <c:v>Other</c:v>
                </c:pt>
              </c:strCache>
            </c:strRef>
          </c:cat>
          <c:val>
            <c:numRef>
              <c:f>Calculations!$F$35:$F$40</c:f>
              <c:numCache>
                <c:formatCode>_-* #,##0_-;\-* #,##0_-;_-* "-"??_-;_-@_-</c:formatCode>
                <c:ptCount val="6"/>
                <c:pt idx="0">
                  <c:v>1000</c:v>
                </c:pt>
                <c:pt idx="1">
                  <c:v>1000</c:v>
                </c:pt>
                <c:pt idx="2">
                  <c:v>1000</c:v>
                </c:pt>
                <c:pt idx="3">
                  <c:v>1000</c:v>
                </c:pt>
                <c:pt idx="4">
                  <c:v>1000</c:v>
                </c:pt>
                <c:pt idx="5">
                  <c:v>1000</c:v>
                </c:pt>
              </c:numCache>
            </c:numRef>
          </c:val>
          <c:extLst>
            <c:ext xmlns:c16="http://schemas.microsoft.com/office/drawing/2014/chart" uri="{C3380CC4-5D6E-409C-BE32-E72D297353CC}">
              <c16:uniqueId val="{0000000C-413F-4E50-A1A6-25AF7ECBA0D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594360</xdr:colOff>
      <xdr:row>4</xdr:row>
      <xdr:rowOff>87630</xdr:rowOff>
    </xdr:from>
    <xdr:to>
      <xdr:col>3</xdr:col>
      <xdr:colOff>441960</xdr:colOff>
      <xdr:row>8</xdr:row>
      <xdr:rowOff>179070</xdr:rowOff>
    </xdr:to>
    <xdr:grpSp>
      <xdr:nvGrpSpPr>
        <xdr:cNvPr id="19" name="Group 18">
          <a:extLst>
            <a:ext uri="{FF2B5EF4-FFF2-40B4-BE49-F238E27FC236}">
              <a16:creationId xmlns:a16="http://schemas.microsoft.com/office/drawing/2014/main" id="{F80C04C2-019E-05CE-D186-0A01CD1ABDE2}"/>
            </a:ext>
          </a:extLst>
        </xdr:cNvPr>
        <xdr:cNvGrpSpPr/>
      </xdr:nvGrpSpPr>
      <xdr:grpSpPr>
        <a:xfrm>
          <a:off x="1200496" y="814994"/>
          <a:ext cx="1458191" cy="818803"/>
          <a:chOff x="1203960" y="807720"/>
          <a:chExt cx="1463040" cy="822960"/>
        </a:xfrm>
      </xdr:grpSpPr>
      <xdr:sp macro="" textlink="">
        <xdr:nvSpPr>
          <xdr:cNvPr id="2" name="Rectangle: Rounded Corners 1">
            <a:extLst>
              <a:ext uri="{FF2B5EF4-FFF2-40B4-BE49-F238E27FC236}">
                <a16:creationId xmlns:a16="http://schemas.microsoft.com/office/drawing/2014/main" id="{83538764-7F07-640C-7451-5AED66364166}"/>
              </a:ext>
            </a:extLst>
          </xdr:cNvPr>
          <xdr:cNvSpPr/>
        </xdr:nvSpPr>
        <xdr:spPr>
          <a:xfrm>
            <a:off x="1203960" y="807720"/>
            <a:ext cx="1463040" cy="822960"/>
          </a:xfrm>
          <a:prstGeom prst="roundRect">
            <a:avLst>
              <a:gd name="adj" fmla="val 10186"/>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 name="TextBox 2">
            <a:extLst>
              <a:ext uri="{FF2B5EF4-FFF2-40B4-BE49-F238E27FC236}">
                <a16:creationId xmlns:a16="http://schemas.microsoft.com/office/drawing/2014/main" id="{6EC9CC23-EDFD-AA13-0EEF-420CADEAAEE1}"/>
              </a:ext>
            </a:extLst>
          </xdr:cNvPr>
          <xdr:cNvSpPr txBox="1"/>
        </xdr:nvSpPr>
        <xdr:spPr>
          <a:xfrm>
            <a:off x="1249680" y="906780"/>
            <a:ext cx="11582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t>Date of Today</a:t>
            </a:r>
          </a:p>
          <a:p>
            <a:pPr algn="l"/>
            <a:endParaRPr lang="en-CA" sz="1200" b="1"/>
          </a:p>
        </xdr:txBody>
      </xdr:sp>
      <xdr:sp macro="" textlink="Calculations!E8">
        <xdr:nvSpPr>
          <xdr:cNvPr id="4" name="TextBox 3">
            <a:extLst>
              <a:ext uri="{FF2B5EF4-FFF2-40B4-BE49-F238E27FC236}">
                <a16:creationId xmlns:a16="http://schemas.microsoft.com/office/drawing/2014/main" id="{B9D7B8CE-5D69-4A55-BCC1-9E922F5B5DB0}"/>
              </a:ext>
            </a:extLst>
          </xdr:cNvPr>
          <xdr:cNvSpPr txBox="1"/>
        </xdr:nvSpPr>
        <xdr:spPr>
          <a:xfrm>
            <a:off x="1249680" y="1181100"/>
            <a:ext cx="11582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25818C4-0BA5-4E9F-910A-816D64BBFC60}" type="TxLink">
              <a:rPr lang="en-US" sz="1100" b="0" i="0" u="none" strike="noStrike">
                <a:solidFill>
                  <a:srgbClr val="000000"/>
                </a:solidFill>
                <a:latin typeface="Aptos Narrow"/>
              </a:rPr>
              <a:pPr algn="l"/>
              <a:t>24-Jun-25</a:t>
            </a:fld>
            <a:endParaRPr lang="en-CA" sz="1200" b="1"/>
          </a:p>
        </xdr:txBody>
      </xdr:sp>
    </xdr:grpSp>
    <xdr:clientData/>
  </xdr:twoCellAnchor>
  <xdr:twoCellAnchor editAs="absolute">
    <xdr:from>
      <xdr:col>3</xdr:col>
      <xdr:colOff>899160</xdr:colOff>
      <xdr:row>4</xdr:row>
      <xdr:rowOff>87630</xdr:rowOff>
    </xdr:from>
    <xdr:to>
      <xdr:col>4</xdr:col>
      <xdr:colOff>1524000</xdr:colOff>
      <xdr:row>8</xdr:row>
      <xdr:rowOff>179070</xdr:rowOff>
    </xdr:to>
    <xdr:grpSp>
      <xdr:nvGrpSpPr>
        <xdr:cNvPr id="27" name="Group 26">
          <a:extLst>
            <a:ext uri="{FF2B5EF4-FFF2-40B4-BE49-F238E27FC236}">
              <a16:creationId xmlns:a16="http://schemas.microsoft.com/office/drawing/2014/main" id="{FE98C954-7FA3-1D53-FEE6-D347469732E4}"/>
            </a:ext>
          </a:extLst>
        </xdr:cNvPr>
        <xdr:cNvGrpSpPr/>
      </xdr:nvGrpSpPr>
      <xdr:grpSpPr>
        <a:xfrm>
          <a:off x="3115887" y="814994"/>
          <a:ext cx="1629295" cy="818803"/>
          <a:chOff x="3124200" y="830580"/>
          <a:chExt cx="1630680" cy="822960"/>
        </a:xfrm>
      </xdr:grpSpPr>
      <xdr:sp macro="" textlink="">
        <xdr:nvSpPr>
          <xdr:cNvPr id="5" name="Rectangle: Rounded Corners 4">
            <a:extLst>
              <a:ext uri="{FF2B5EF4-FFF2-40B4-BE49-F238E27FC236}">
                <a16:creationId xmlns:a16="http://schemas.microsoft.com/office/drawing/2014/main" id="{EE4BB6CC-AB94-4E68-BD2E-7CB30A2302EA}"/>
              </a:ext>
            </a:extLst>
          </xdr:cNvPr>
          <xdr:cNvSpPr/>
        </xdr:nvSpPr>
        <xdr:spPr>
          <a:xfrm>
            <a:off x="3124200" y="830580"/>
            <a:ext cx="1623060" cy="822960"/>
          </a:xfrm>
          <a:prstGeom prst="roundRect">
            <a:avLst>
              <a:gd name="adj" fmla="val 10186"/>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6" name="TextBox 5">
            <a:extLst>
              <a:ext uri="{FF2B5EF4-FFF2-40B4-BE49-F238E27FC236}">
                <a16:creationId xmlns:a16="http://schemas.microsoft.com/office/drawing/2014/main" id="{54E0B1E7-A15F-4AA5-8F55-617E86211B84}"/>
              </a:ext>
            </a:extLst>
          </xdr:cNvPr>
          <xdr:cNvSpPr txBox="1"/>
        </xdr:nvSpPr>
        <xdr:spPr>
          <a:xfrm>
            <a:off x="3169920" y="929640"/>
            <a:ext cx="14630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t>Date of Last Record</a:t>
            </a:r>
          </a:p>
          <a:p>
            <a:pPr algn="l"/>
            <a:endParaRPr lang="en-CA" sz="1200" b="1"/>
          </a:p>
        </xdr:txBody>
      </xdr:sp>
      <xdr:sp macro="" textlink="Calculations!E9">
        <xdr:nvSpPr>
          <xdr:cNvPr id="7" name="TextBox 6">
            <a:extLst>
              <a:ext uri="{FF2B5EF4-FFF2-40B4-BE49-F238E27FC236}">
                <a16:creationId xmlns:a16="http://schemas.microsoft.com/office/drawing/2014/main" id="{83FCF421-D52D-45F0-B405-42F97C396435}"/>
              </a:ext>
            </a:extLst>
          </xdr:cNvPr>
          <xdr:cNvSpPr txBox="1"/>
        </xdr:nvSpPr>
        <xdr:spPr>
          <a:xfrm>
            <a:off x="3169920" y="1203960"/>
            <a:ext cx="784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7F6942-486B-4B1A-B113-EDD7D8744252}" type="TxLink">
              <a:rPr lang="en-US" sz="1100" b="0" i="0" u="none" strike="noStrike">
                <a:solidFill>
                  <a:srgbClr val="000000"/>
                </a:solidFill>
                <a:latin typeface="Aptos Narrow"/>
              </a:rPr>
              <a:pPr algn="l"/>
              <a:t>15-Mar-25</a:t>
            </a:fld>
            <a:endParaRPr lang="en-US" b="1"/>
          </a:p>
        </xdr:txBody>
      </xdr:sp>
      <xdr:sp macro="" textlink="Calculations!E10">
        <xdr:nvSpPr>
          <xdr:cNvPr id="8" name="TextBox 7">
            <a:extLst>
              <a:ext uri="{FF2B5EF4-FFF2-40B4-BE49-F238E27FC236}">
                <a16:creationId xmlns:a16="http://schemas.microsoft.com/office/drawing/2014/main" id="{3D61348F-C84E-4D73-A7B2-166D5539014F}"/>
              </a:ext>
            </a:extLst>
          </xdr:cNvPr>
          <xdr:cNvSpPr txBox="1"/>
        </xdr:nvSpPr>
        <xdr:spPr>
          <a:xfrm>
            <a:off x="3771900" y="1211580"/>
            <a:ext cx="9829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9D70F2E-8D0E-4DE6-9916-3AF8A9720C31}" type="TxLink">
              <a:rPr lang="en-US" sz="1050" b="0" i="0" u="none" strike="noStrike">
                <a:solidFill>
                  <a:srgbClr val="000000"/>
                </a:solidFill>
                <a:latin typeface="Aptos Narrow"/>
              </a:rPr>
              <a:pPr algn="l"/>
              <a:t>(101 days ago)</a:t>
            </a:fld>
            <a:endParaRPr lang="en-US" sz="1050" b="0"/>
          </a:p>
        </xdr:txBody>
      </xdr:sp>
    </xdr:grpSp>
    <xdr:clientData/>
  </xdr:twoCellAnchor>
  <xdr:twoCellAnchor editAs="absolute">
    <xdr:from>
      <xdr:col>4</xdr:col>
      <xdr:colOff>2011679</xdr:colOff>
      <xdr:row>4</xdr:row>
      <xdr:rowOff>87630</xdr:rowOff>
    </xdr:from>
    <xdr:to>
      <xdr:col>6</xdr:col>
      <xdr:colOff>791306</xdr:colOff>
      <xdr:row>8</xdr:row>
      <xdr:rowOff>179070</xdr:rowOff>
    </xdr:to>
    <xdr:grpSp>
      <xdr:nvGrpSpPr>
        <xdr:cNvPr id="28" name="Group 27">
          <a:extLst>
            <a:ext uri="{FF2B5EF4-FFF2-40B4-BE49-F238E27FC236}">
              <a16:creationId xmlns:a16="http://schemas.microsoft.com/office/drawing/2014/main" id="{9AEEEA57-EDC3-7244-3091-1C3458C2DC2C}"/>
            </a:ext>
          </a:extLst>
        </xdr:cNvPr>
        <xdr:cNvGrpSpPr/>
      </xdr:nvGrpSpPr>
      <xdr:grpSpPr>
        <a:xfrm>
          <a:off x="5232861" y="814994"/>
          <a:ext cx="1801650" cy="818803"/>
          <a:chOff x="5242560" y="815340"/>
          <a:chExt cx="1684020" cy="822960"/>
        </a:xfrm>
      </xdr:grpSpPr>
      <xdr:sp macro="" textlink="">
        <xdr:nvSpPr>
          <xdr:cNvPr id="11" name="Rectangle: Rounded Corners 10">
            <a:extLst>
              <a:ext uri="{FF2B5EF4-FFF2-40B4-BE49-F238E27FC236}">
                <a16:creationId xmlns:a16="http://schemas.microsoft.com/office/drawing/2014/main" id="{501C72D2-895A-4D11-A1AB-D659978DFE5B}"/>
              </a:ext>
            </a:extLst>
          </xdr:cNvPr>
          <xdr:cNvSpPr/>
        </xdr:nvSpPr>
        <xdr:spPr>
          <a:xfrm>
            <a:off x="5242560" y="815340"/>
            <a:ext cx="1661160" cy="822960"/>
          </a:xfrm>
          <a:prstGeom prst="roundRect">
            <a:avLst>
              <a:gd name="adj" fmla="val 10186"/>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2" name="TextBox 11">
            <a:extLst>
              <a:ext uri="{FF2B5EF4-FFF2-40B4-BE49-F238E27FC236}">
                <a16:creationId xmlns:a16="http://schemas.microsoft.com/office/drawing/2014/main" id="{F4BF39E2-3E63-4605-AB4E-374BA7F19AD4}"/>
              </a:ext>
            </a:extLst>
          </xdr:cNvPr>
          <xdr:cNvSpPr txBox="1"/>
        </xdr:nvSpPr>
        <xdr:spPr>
          <a:xfrm>
            <a:off x="5288280" y="914400"/>
            <a:ext cx="16383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t>N*</a:t>
            </a:r>
            <a:r>
              <a:rPr lang="en-CA" sz="1200" b="1" baseline="0"/>
              <a:t> of Tracked Records</a:t>
            </a:r>
            <a:endParaRPr lang="en-CA" sz="1200" b="1"/>
          </a:p>
          <a:p>
            <a:pPr algn="l"/>
            <a:endParaRPr lang="en-CA" sz="1200" b="1"/>
          </a:p>
        </xdr:txBody>
      </xdr:sp>
      <xdr:sp macro="" textlink="Calculations!E11">
        <xdr:nvSpPr>
          <xdr:cNvPr id="13" name="TextBox 12">
            <a:extLst>
              <a:ext uri="{FF2B5EF4-FFF2-40B4-BE49-F238E27FC236}">
                <a16:creationId xmlns:a16="http://schemas.microsoft.com/office/drawing/2014/main" id="{B1DAF4A3-70BE-4C63-BD0A-9F27E90353C8}"/>
              </a:ext>
            </a:extLst>
          </xdr:cNvPr>
          <xdr:cNvSpPr txBox="1"/>
        </xdr:nvSpPr>
        <xdr:spPr>
          <a:xfrm>
            <a:off x="5288280" y="1188720"/>
            <a:ext cx="4114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0BBC90F-4C02-4E0C-A013-1F802D5F05AE}" type="TxLink">
              <a:rPr lang="en-US" sz="1200" b="1" i="0" u="none" strike="noStrike">
                <a:solidFill>
                  <a:srgbClr val="000000"/>
                </a:solidFill>
                <a:latin typeface="Aptos Narrow"/>
              </a:rPr>
              <a:pPr algn="l"/>
              <a:t>62</a:t>
            </a:fld>
            <a:endParaRPr lang="en-US" sz="1200" b="1"/>
          </a:p>
        </xdr:txBody>
      </xdr:sp>
      <xdr:sp macro="" textlink="Calculations!E12">
        <xdr:nvSpPr>
          <xdr:cNvPr id="14" name="TextBox 13">
            <a:extLst>
              <a:ext uri="{FF2B5EF4-FFF2-40B4-BE49-F238E27FC236}">
                <a16:creationId xmlns:a16="http://schemas.microsoft.com/office/drawing/2014/main" id="{263D7E03-B0DB-4445-AB33-16355C8CD87D}"/>
              </a:ext>
            </a:extLst>
          </xdr:cNvPr>
          <xdr:cNvSpPr txBox="1"/>
        </xdr:nvSpPr>
        <xdr:spPr>
          <a:xfrm>
            <a:off x="5661660" y="1219200"/>
            <a:ext cx="8686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BD5CB88-B2ED-49E6-8A1C-BBE4D561CC1C}" type="TxLink">
              <a:rPr lang="en-US" sz="1050" b="0" i="0" u="none" strike="noStrike">
                <a:solidFill>
                  <a:srgbClr val="000000"/>
                </a:solidFill>
                <a:latin typeface="Aptos Narrow"/>
              </a:rPr>
              <a:pPr algn="l"/>
              <a:t>(61 this year)</a:t>
            </a:fld>
            <a:endParaRPr lang="en-US" sz="1000" b="0"/>
          </a:p>
        </xdr:txBody>
      </xdr:sp>
    </xdr:grpSp>
    <xdr:clientData/>
  </xdr:twoCellAnchor>
  <xdr:twoCellAnchor editAs="absolute">
    <xdr:from>
      <xdr:col>6</xdr:col>
      <xdr:colOff>1112520</xdr:colOff>
      <xdr:row>4</xdr:row>
      <xdr:rowOff>87630</xdr:rowOff>
    </xdr:from>
    <xdr:to>
      <xdr:col>8</xdr:col>
      <xdr:colOff>1190413</xdr:colOff>
      <xdr:row>8</xdr:row>
      <xdr:rowOff>179070</xdr:rowOff>
    </xdr:to>
    <xdr:grpSp>
      <xdr:nvGrpSpPr>
        <xdr:cNvPr id="29" name="Group 28">
          <a:extLst>
            <a:ext uri="{FF2B5EF4-FFF2-40B4-BE49-F238E27FC236}">
              <a16:creationId xmlns:a16="http://schemas.microsoft.com/office/drawing/2014/main" id="{1B06874E-22E3-361E-75E2-D4A29B60EC77}"/>
            </a:ext>
          </a:extLst>
        </xdr:cNvPr>
        <xdr:cNvGrpSpPr/>
      </xdr:nvGrpSpPr>
      <xdr:grpSpPr>
        <a:xfrm>
          <a:off x="7355725" y="814994"/>
          <a:ext cx="2814165" cy="818803"/>
          <a:chOff x="7368540" y="815340"/>
          <a:chExt cx="2811780" cy="822960"/>
        </a:xfrm>
      </xdr:grpSpPr>
      <xdr:sp macro="" textlink="">
        <xdr:nvSpPr>
          <xdr:cNvPr id="15" name="Rectangle: Rounded Corners 14">
            <a:extLst>
              <a:ext uri="{FF2B5EF4-FFF2-40B4-BE49-F238E27FC236}">
                <a16:creationId xmlns:a16="http://schemas.microsoft.com/office/drawing/2014/main" id="{AF088656-3D89-4E0C-B0AD-C0039FD3293D}"/>
              </a:ext>
            </a:extLst>
          </xdr:cNvPr>
          <xdr:cNvSpPr/>
        </xdr:nvSpPr>
        <xdr:spPr>
          <a:xfrm>
            <a:off x="7368540" y="815340"/>
            <a:ext cx="2811780" cy="822960"/>
          </a:xfrm>
          <a:prstGeom prst="roundRect">
            <a:avLst>
              <a:gd name="adj" fmla="val 10186"/>
            </a:avLst>
          </a:prstGeom>
          <a:solidFill>
            <a:schemeClr val="bg1"/>
          </a:solidFill>
          <a:ln w="6350">
            <a:solidFill>
              <a:schemeClr val="bg1">
                <a:lumMod val="7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6" name="TextBox 15">
            <a:extLst>
              <a:ext uri="{FF2B5EF4-FFF2-40B4-BE49-F238E27FC236}">
                <a16:creationId xmlns:a16="http://schemas.microsoft.com/office/drawing/2014/main" id="{FAC4ECA2-F13E-4843-987E-ADA3A24C12EA}"/>
              </a:ext>
            </a:extLst>
          </xdr:cNvPr>
          <xdr:cNvSpPr txBox="1"/>
        </xdr:nvSpPr>
        <xdr:spPr>
          <a:xfrm>
            <a:off x="7414260" y="914400"/>
            <a:ext cx="16383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t>Total</a:t>
            </a:r>
            <a:r>
              <a:rPr lang="en-CA" sz="1200" b="1" baseline="0"/>
              <a:t> Tracking Balance</a:t>
            </a:r>
            <a:endParaRPr lang="en-CA" sz="1200" b="1"/>
          </a:p>
          <a:p>
            <a:pPr algn="l"/>
            <a:endParaRPr lang="en-CA" sz="1200" b="1"/>
          </a:p>
        </xdr:txBody>
      </xdr:sp>
      <xdr:sp macro="" textlink="Calculations!E13">
        <xdr:nvSpPr>
          <xdr:cNvPr id="17" name="TextBox 16">
            <a:extLst>
              <a:ext uri="{FF2B5EF4-FFF2-40B4-BE49-F238E27FC236}">
                <a16:creationId xmlns:a16="http://schemas.microsoft.com/office/drawing/2014/main" id="{B8423604-5827-4CE4-81D8-ADF98E63839B}"/>
              </a:ext>
            </a:extLst>
          </xdr:cNvPr>
          <xdr:cNvSpPr txBox="1"/>
        </xdr:nvSpPr>
        <xdr:spPr>
          <a:xfrm>
            <a:off x="7414260" y="1188720"/>
            <a:ext cx="8915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441F1D-5949-4FE1-AE1D-EEDFDE3555AB}" type="TxLink">
              <a:rPr lang="en-US" sz="1200" b="1" i="0" u="none" strike="noStrike">
                <a:solidFill>
                  <a:srgbClr val="000000"/>
                </a:solidFill>
                <a:latin typeface="Aptos Narrow"/>
              </a:rPr>
              <a:pPr algn="l"/>
              <a:t> 1,420 </a:t>
            </a:fld>
            <a:endParaRPr lang="en-US" sz="1400" b="1"/>
          </a:p>
        </xdr:txBody>
      </xdr:sp>
      <xdr:sp macro="" textlink="Calculations!E14">
        <xdr:nvSpPr>
          <xdr:cNvPr id="18" name="TextBox 17">
            <a:extLst>
              <a:ext uri="{FF2B5EF4-FFF2-40B4-BE49-F238E27FC236}">
                <a16:creationId xmlns:a16="http://schemas.microsoft.com/office/drawing/2014/main" id="{44CD7336-F46D-471E-80DA-902F69E2D85B}"/>
              </a:ext>
            </a:extLst>
          </xdr:cNvPr>
          <xdr:cNvSpPr txBox="1"/>
        </xdr:nvSpPr>
        <xdr:spPr>
          <a:xfrm>
            <a:off x="7947660" y="1219200"/>
            <a:ext cx="22174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E70BA5-4801-4DF0-B87A-476708661A67}" type="TxLink">
              <a:rPr lang="en-US" sz="1050" b="0" i="0" u="none" strike="noStrike">
                <a:solidFill>
                  <a:srgbClr val="000000"/>
                </a:solidFill>
                <a:latin typeface="Aptos Narrow"/>
              </a:rPr>
              <a:pPr algn="l"/>
              <a:t>of tracked income left to be allocated</a:t>
            </a:fld>
            <a:endParaRPr lang="en-US" sz="900" b="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106326</xdr:colOff>
      <xdr:row>12</xdr:row>
      <xdr:rowOff>150629</xdr:rowOff>
    </xdr:from>
    <xdr:to>
      <xdr:col>32</xdr:col>
      <xdr:colOff>859119</xdr:colOff>
      <xdr:row>14</xdr:row>
      <xdr:rowOff>37353</xdr:rowOff>
    </xdr:to>
    <xdr:sp macro="" textlink="">
      <xdr:nvSpPr>
        <xdr:cNvPr id="2" name="TextBox 1">
          <a:extLst>
            <a:ext uri="{FF2B5EF4-FFF2-40B4-BE49-F238E27FC236}">
              <a16:creationId xmlns:a16="http://schemas.microsoft.com/office/drawing/2014/main" id="{052D500D-29BB-BD40-9FD6-05CF6ADAC2DA}"/>
            </a:ext>
          </a:extLst>
        </xdr:cNvPr>
        <xdr:cNvSpPr txBox="1"/>
      </xdr:nvSpPr>
      <xdr:spPr>
        <a:xfrm>
          <a:off x="7180973" y="2302158"/>
          <a:ext cx="1910734" cy="24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accent6">
                  <a:lumMod val="75000"/>
                </a:schemeClr>
              </a:solidFill>
            </a:rPr>
            <a:t>Income</a:t>
          </a:r>
          <a:r>
            <a:rPr lang="en-CA" sz="1100" b="1"/>
            <a:t> Categories (Tracked)</a:t>
          </a:r>
        </a:p>
      </xdr:txBody>
    </xdr:sp>
    <xdr:clientData/>
  </xdr:twoCellAnchor>
  <xdr:twoCellAnchor editAs="oneCell">
    <xdr:from>
      <xdr:col>31</xdr:col>
      <xdr:colOff>209178</xdr:colOff>
      <xdr:row>14</xdr:row>
      <xdr:rowOff>7469</xdr:rowOff>
    </xdr:from>
    <xdr:to>
      <xdr:col>32</xdr:col>
      <xdr:colOff>653237</xdr:colOff>
      <xdr:row>22</xdr:row>
      <xdr:rowOff>175116</xdr:rowOff>
    </xdr:to>
    <xdr:graphicFrame macro="">
      <xdr:nvGraphicFramePr>
        <xdr:cNvPr id="3" name="Chart 2">
          <a:extLst>
            <a:ext uri="{FF2B5EF4-FFF2-40B4-BE49-F238E27FC236}">
              <a16:creationId xmlns:a16="http://schemas.microsoft.com/office/drawing/2014/main" id="{AC83268D-4C5A-4C38-A67C-790CFBC90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15EC6-0321-43BC-BAA8-5038207C2E25}" name="Income" displayName="Income" ref="C9:C12" totalsRowShown="0" headerRowDxfId="34" dataDxfId="33">
  <autoFilter ref="C9:C12" xr:uid="{81E15EC6-0321-43BC-BAA8-5038207C2E25}">
    <filterColumn colId="0" hiddenButton="1"/>
  </autoFilter>
  <tableColumns count="1">
    <tableColumn id="1" xr3:uid="{81BA5BD6-74F4-423E-A43C-23B0856E1347}" name="Income" dataDxfId="32"/>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E5B41D-FAA5-4AF3-9F3A-D71762670E0E}" name="Expenses" displayName="Expenses" ref="C22:C31" totalsRowShown="0" headerRowDxfId="31" dataDxfId="30">
  <autoFilter ref="C22:C31" xr:uid="{62E5B41D-FAA5-4AF3-9F3A-D71762670E0E}">
    <filterColumn colId="0" hiddenButton="1"/>
  </autoFilter>
  <tableColumns count="1">
    <tableColumn id="1" xr3:uid="{7BD41D0C-6204-466D-B669-C7EE1461832E}" name="Expenses" dataDxfId="29"/>
  </tableColumns>
  <tableStyleInfo name="Expenses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34410A-42D7-4E8A-8398-34A54BB244FD}" name="Savings" displayName="Savings" ref="C38:C43" totalsRowShown="0" headerRowDxfId="28" dataDxfId="27">
  <autoFilter ref="C38:C43" xr:uid="{9534410A-42D7-4E8A-8398-34A54BB244FD}">
    <filterColumn colId="0" hiddenButton="1"/>
  </autoFilter>
  <tableColumns count="1">
    <tableColumn id="1" xr3:uid="{635321A9-B0BF-44F9-93A7-86FBE624AFAE}" name="Savings" dataDxfId="26"/>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1AF9D1-8363-41BC-B798-52730DD97C28}" name="Tracking" displayName="Tracking" ref="C11:I73" totalsRowShown="0" headerRowDxfId="25" dataDxfId="24">
  <autoFilter ref="C11:I73" xr:uid="{3D1AF9D1-8363-41BC-B798-52730DD97C28}"/>
  <sortState xmlns:xlrd2="http://schemas.microsoft.com/office/spreadsheetml/2017/richdata2" ref="C12:I73">
    <sortCondition ref="C11:C73"/>
  </sortState>
  <tableColumns count="7">
    <tableColumn id="1" xr3:uid="{69E00F19-1355-4554-A84B-4634991D745B}" name="Date" dataDxfId="23"/>
    <tableColumn id="2" xr3:uid="{0242219A-1B77-4B39-990D-26CD1B7B7DE9}" name="Type" dataDxfId="22"/>
    <tableColumn id="3" xr3:uid="{A7548D6B-BA60-4B0A-8435-1F6526DCE7DC}" name="Category" dataDxfId="21"/>
    <tableColumn id="4" xr3:uid="{5AD9C2F1-7F61-4082-B9D9-F8DDD269CE65}" name="Amount" dataDxfId="20" dataCellStyle="Comma"/>
    <tableColumn id="5" xr3:uid="{0D5CA85B-244C-4726-BAB0-3064C7192850}" name="Details" dataDxfId="19"/>
    <tableColumn id="6" xr3:uid="{3E1DE389-C02B-4C60-8FEE-A4C1E07E6C0D}" name="Balance" dataDxfId="18" dataCellStyle="Comma">
      <calculatedColumnFormula array="1">SUMPRODUCT(Tracking[Amount], --(Tracking[Date]&lt;=Tracking[[#This Row],[Date]]), (Tracking[Type]&lt;&gt;"Income") * (-1) + (Tracking[Type]="Income"))</calculatedColumnFormula>
    </tableColumn>
    <tableColumn id="7" xr3:uid="{B024E0AD-535C-41E8-99C5-1C6BAF3E8FA1}" name="Effective Date" dataDxfId="17">
      <calculatedColumnFormula>IF(AND(Tracking[[#This Row],[Type]]="Income", shift_late_income_status="Active", DAY(Tracking[[#This Row],[Date]])&gt;=shift_late_income_starting_day), DATE(YEAR(Tracking[[#This Row],[Date]]), MONTH(Tracking[[#This Row],[Date]])+1, 1), Tracking[[#This Row],[Date]])</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2D51-3E02-433E-970A-2E92EC62D698}">
  <dimension ref="C6:H24"/>
  <sheetViews>
    <sheetView topLeftCell="B1" workbookViewId="0">
      <selection activeCell="E8" sqref="E8"/>
    </sheetView>
  </sheetViews>
  <sheetFormatPr defaultRowHeight="14.4" x14ac:dyDescent="0.3"/>
  <cols>
    <col min="3" max="3" width="2" customWidth="1"/>
    <col min="4" max="5" width="27.5546875" customWidth="1"/>
    <col min="6" max="6" width="2" customWidth="1"/>
    <col min="7" max="7" width="74.6640625" customWidth="1"/>
    <col min="8" max="8" width="2" customWidth="1"/>
  </cols>
  <sheetData>
    <row r="6" spans="3:8" x14ac:dyDescent="0.3">
      <c r="C6" s="89" t="s">
        <v>0</v>
      </c>
      <c r="D6" s="89"/>
      <c r="E6" s="89"/>
      <c r="F6" s="89"/>
      <c r="G6" s="89"/>
      <c r="H6" s="89"/>
    </row>
    <row r="7" spans="3:8" x14ac:dyDescent="0.3">
      <c r="C7" s="1"/>
      <c r="H7" s="2"/>
    </row>
    <row r="8" spans="3:8" x14ac:dyDescent="0.3">
      <c r="C8" s="1"/>
      <c r="D8" s="6" t="s">
        <v>1</v>
      </c>
      <c r="E8" s="7">
        <v>2025</v>
      </c>
      <c r="G8" s="8" t="s">
        <v>2</v>
      </c>
      <c r="H8" s="2"/>
    </row>
    <row r="9" spans="3:8" x14ac:dyDescent="0.3">
      <c r="C9" s="3"/>
      <c r="D9" s="4"/>
      <c r="E9" s="4"/>
      <c r="F9" s="4"/>
      <c r="G9" s="4"/>
      <c r="H9" s="5"/>
    </row>
    <row r="12" spans="3:8" x14ac:dyDescent="0.3">
      <c r="C12" s="89" t="s">
        <v>36</v>
      </c>
      <c r="D12" s="89"/>
      <c r="E12" s="89"/>
      <c r="F12" s="89"/>
      <c r="G12" s="89"/>
      <c r="H12" s="89"/>
    </row>
    <row r="13" spans="3:8" x14ac:dyDescent="0.3">
      <c r="C13" s="34"/>
      <c r="D13" s="33"/>
      <c r="E13" s="33"/>
      <c r="F13" s="33"/>
      <c r="G13" s="33"/>
      <c r="H13" s="35"/>
    </row>
    <row r="14" spans="3:8" x14ac:dyDescent="0.3">
      <c r="C14" s="34"/>
      <c r="D14" s="36" t="s">
        <v>37</v>
      </c>
      <c r="E14" s="33"/>
      <c r="F14" s="33"/>
      <c r="G14" s="33"/>
      <c r="H14" s="35"/>
    </row>
    <row r="15" spans="3:8" x14ac:dyDescent="0.3">
      <c r="C15" s="1"/>
      <c r="H15" s="2"/>
    </row>
    <row r="16" spans="3:8" x14ac:dyDescent="0.3">
      <c r="C16" s="1"/>
      <c r="D16" s="11" t="s">
        <v>40</v>
      </c>
      <c r="E16" s="7" t="s">
        <v>38</v>
      </c>
      <c r="G16" s="90" t="s">
        <v>41</v>
      </c>
      <c r="H16" s="2"/>
    </row>
    <row r="17" spans="3:8" ht="7.5" customHeight="1" x14ac:dyDescent="0.3">
      <c r="C17" s="1"/>
      <c r="G17" s="90"/>
      <c r="H17" s="2"/>
    </row>
    <row r="18" spans="3:8" x14ac:dyDescent="0.3">
      <c r="C18" s="1"/>
      <c r="D18" s="11" t="s">
        <v>39</v>
      </c>
      <c r="E18" s="7">
        <v>20</v>
      </c>
      <c r="G18" s="90"/>
      <c r="H18" s="2"/>
    </row>
    <row r="19" spans="3:8" x14ac:dyDescent="0.3">
      <c r="C19" s="1"/>
      <c r="H19" s="2"/>
    </row>
    <row r="20" spans="3:8" x14ac:dyDescent="0.3">
      <c r="C20" s="1"/>
      <c r="H20" s="2"/>
    </row>
    <row r="21" spans="3:8" x14ac:dyDescent="0.3">
      <c r="C21" s="1"/>
      <c r="H21" s="2"/>
    </row>
    <row r="22" spans="3:8" x14ac:dyDescent="0.3">
      <c r="C22" s="1"/>
      <c r="H22" s="2"/>
    </row>
    <row r="23" spans="3:8" x14ac:dyDescent="0.3">
      <c r="C23" s="1"/>
      <c r="H23" s="2"/>
    </row>
    <row r="24" spans="3:8" x14ac:dyDescent="0.3">
      <c r="C24" s="3"/>
      <c r="D24" s="4"/>
      <c r="E24" s="4"/>
      <c r="F24" s="4"/>
      <c r="G24" s="4"/>
      <c r="H24" s="5"/>
    </row>
  </sheetData>
  <mergeCells count="3">
    <mergeCell ref="C6:H6"/>
    <mergeCell ref="C12:H12"/>
    <mergeCell ref="G16:G18"/>
  </mergeCells>
  <conditionalFormatting sqref="E18">
    <cfRule type="expression" dxfId="16" priority="1">
      <formula>shift_late_income_status="Inactive"</formula>
    </cfRule>
  </conditionalFormatting>
  <dataValidations count="1">
    <dataValidation type="list" allowBlank="1" showInputMessage="1" showErrorMessage="1" sqref="E16" xr:uid="{5A97BF44-377C-4AF1-ABDC-F15C2995AF8F}">
      <formula1>"Active, Inactive"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74BF-161E-45F2-AA0F-E3D00A6F5718}">
  <dimension ref="C5:EM49"/>
  <sheetViews>
    <sheetView topLeftCell="A4" zoomScale="66" zoomScaleNormal="66" workbookViewId="0">
      <pane xSplit="4" topLeftCell="E1" activePane="topRight" state="frozen"/>
      <selection pane="topRight" activeCell="C22" sqref="C22:EM31"/>
    </sheetView>
  </sheetViews>
  <sheetFormatPr defaultRowHeight="14.4" outlineLevelCol="1" x14ac:dyDescent="0.3"/>
  <cols>
    <col min="2" max="2" width="9.109375" customWidth="1"/>
    <col min="3" max="3" width="29.6640625" customWidth="1"/>
    <col min="4" max="4" width="2" customWidth="1"/>
    <col min="5" max="16" width="10.109375" customWidth="1" outlineLevel="1"/>
    <col min="18" max="18" width="2" customWidth="1"/>
    <col min="19" max="30" width="10.109375" hidden="1" customWidth="1" outlineLevel="1"/>
    <col min="31" max="31" width="9.109375" collapsed="1"/>
    <col min="32" max="32" width="2" customWidth="1"/>
    <col min="33" max="44" width="10.109375" hidden="1" customWidth="1" outlineLevel="1"/>
    <col min="45" max="45" width="9.109375" collapsed="1"/>
    <col min="46" max="46" width="2" customWidth="1"/>
    <col min="47" max="58" width="10.109375" hidden="1" customWidth="1" outlineLevel="1"/>
    <col min="59" max="59" width="9.109375" collapsed="1"/>
    <col min="60" max="60" width="2" customWidth="1"/>
    <col min="61" max="72" width="10.109375" hidden="1" customWidth="1" outlineLevel="1"/>
    <col min="73" max="73" width="9.109375" collapsed="1"/>
    <col min="74" max="74" width="2" customWidth="1"/>
    <col min="75" max="86" width="10.109375" hidden="1" customWidth="1" outlineLevel="1"/>
    <col min="87" max="87" width="9.109375" collapsed="1"/>
    <col min="88" max="88" width="2" customWidth="1"/>
    <col min="89" max="100" width="10.109375" hidden="1" customWidth="1" outlineLevel="1"/>
    <col min="101" max="101" width="9.109375" collapsed="1"/>
    <col min="102" max="102" width="2" customWidth="1"/>
    <col min="103" max="114" width="10.109375" hidden="1" customWidth="1" outlineLevel="1"/>
    <col min="115" max="115" width="9.109375" collapsed="1"/>
    <col min="116" max="116" width="2" customWidth="1"/>
    <col min="117" max="128" width="10.109375" hidden="1" customWidth="1" outlineLevel="1"/>
    <col min="129" max="129" width="9.109375" collapsed="1"/>
    <col min="130" max="130" width="2" customWidth="1"/>
    <col min="131" max="142" width="10.109375" hidden="1" customWidth="1" outlineLevel="1"/>
    <col min="143" max="143" width="9.109375" collapsed="1"/>
    <col min="144" max="144" width="2" customWidth="1"/>
  </cols>
  <sheetData>
    <row r="5" spans="3:143" ht="18" customHeight="1" x14ac:dyDescent="0.3">
      <c r="C5" s="10" t="s">
        <v>3</v>
      </c>
      <c r="D5" s="9"/>
      <c r="E5" s="89">
        <f>starting_year</f>
        <v>2025</v>
      </c>
      <c r="F5" s="89"/>
      <c r="G5" s="89"/>
      <c r="H5" s="89"/>
      <c r="I5" s="89"/>
      <c r="J5" s="89"/>
      <c r="K5" s="89"/>
      <c r="L5" s="89"/>
      <c r="M5" s="89"/>
      <c r="N5" s="89"/>
      <c r="O5" s="89"/>
      <c r="P5" s="89"/>
      <c r="Q5" s="89"/>
      <c r="S5" s="89">
        <f>E5+1</f>
        <v>2026</v>
      </c>
      <c r="T5" s="89"/>
      <c r="U5" s="89"/>
      <c r="V5" s="89"/>
      <c r="W5" s="89"/>
      <c r="X5" s="89"/>
      <c r="Y5" s="89"/>
      <c r="Z5" s="89"/>
      <c r="AA5" s="89"/>
      <c r="AB5" s="89"/>
      <c r="AC5" s="89"/>
      <c r="AD5" s="89"/>
      <c r="AE5" s="89"/>
      <c r="AG5" s="89">
        <f t="shared" ref="AG5" si="0">S5+1</f>
        <v>2027</v>
      </c>
      <c r="AH5" s="89"/>
      <c r="AI5" s="89"/>
      <c r="AJ5" s="89"/>
      <c r="AK5" s="89"/>
      <c r="AL5" s="89"/>
      <c r="AM5" s="89"/>
      <c r="AN5" s="89"/>
      <c r="AO5" s="89"/>
      <c r="AP5" s="89"/>
      <c r="AQ5" s="89"/>
      <c r="AR5" s="89"/>
      <c r="AS5" s="89"/>
      <c r="AU5" s="89">
        <f t="shared" ref="AU5" si="1">AG5+1</f>
        <v>2028</v>
      </c>
      <c r="AV5" s="89"/>
      <c r="AW5" s="89"/>
      <c r="AX5" s="89"/>
      <c r="AY5" s="89"/>
      <c r="AZ5" s="89"/>
      <c r="BA5" s="89"/>
      <c r="BB5" s="89"/>
      <c r="BC5" s="89"/>
      <c r="BD5" s="89"/>
      <c r="BE5" s="89"/>
      <c r="BF5" s="89"/>
      <c r="BG5" s="89"/>
      <c r="BI5" s="89">
        <f t="shared" ref="BI5" si="2">AU5+1</f>
        <v>2029</v>
      </c>
      <c r="BJ5" s="89"/>
      <c r="BK5" s="89"/>
      <c r="BL5" s="89"/>
      <c r="BM5" s="89"/>
      <c r="BN5" s="89"/>
      <c r="BO5" s="89"/>
      <c r="BP5" s="89"/>
      <c r="BQ5" s="89"/>
      <c r="BR5" s="89"/>
      <c r="BS5" s="89"/>
      <c r="BT5" s="89"/>
      <c r="BU5" s="89"/>
      <c r="BW5" s="89">
        <f t="shared" ref="BW5" si="3">BI5+1</f>
        <v>2030</v>
      </c>
      <c r="BX5" s="89"/>
      <c r="BY5" s="89"/>
      <c r="BZ5" s="89"/>
      <c r="CA5" s="89"/>
      <c r="CB5" s="89"/>
      <c r="CC5" s="89"/>
      <c r="CD5" s="89"/>
      <c r="CE5" s="89"/>
      <c r="CF5" s="89"/>
      <c r="CG5" s="89"/>
      <c r="CH5" s="89"/>
      <c r="CI5" s="89"/>
      <c r="CK5" s="89">
        <f t="shared" ref="CK5" si="4">BW5+1</f>
        <v>2031</v>
      </c>
      <c r="CL5" s="89"/>
      <c r="CM5" s="89"/>
      <c r="CN5" s="89"/>
      <c r="CO5" s="89"/>
      <c r="CP5" s="89"/>
      <c r="CQ5" s="89"/>
      <c r="CR5" s="89"/>
      <c r="CS5" s="89"/>
      <c r="CT5" s="89"/>
      <c r="CU5" s="89"/>
      <c r="CV5" s="89"/>
      <c r="CW5" s="89"/>
      <c r="CY5" s="89">
        <f t="shared" ref="CY5" si="5">CK5+1</f>
        <v>2032</v>
      </c>
      <c r="CZ5" s="89"/>
      <c r="DA5" s="89"/>
      <c r="DB5" s="89"/>
      <c r="DC5" s="89"/>
      <c r="DD5" s="89"/>
      <c r="DE5" s="89"/>
      <c r="DF5" s="89"/>
      <c r="DG5" s="89"/>
      <c r="DH5" s="89"/>
      <c r="DI5" s="89"/>
      <c r="DJ5" s="89"/>
      <c r="DK5" s="89"/>
      <c r="DM5" s="89">
        <f t="shared" ref="DM5" si="6">CY5+1</f>
        <v>2033</v>
      </c>
      <c r="DN5" s="89"/>
      <c r="DO5" s="89"/>
      <c r="DP5" s="89"/>
      <c r="DQ5" s="89"/>
      <c r="DR5" s="89"/>
      <c r="DS5" s="89"/>
      <c r="DT5" s="89"/>
      <c r="DU5" s="89"/>
      <c r="DV5" s="89"/>
      <c r="DW5" s="89"/>
      <c r="DX5" s="89"/>
      <c r="DY5" s="89"/>
      <c r="EA5" s="89">
        <f t="shared" ref="EA5" si="7">DM5+1</f>
        <v>2034</v>
      </c>
      <c r="EB5" s="89"/>
      <c r="EC5" s="89"/>
      <c r="ED5" s="89"/>
      <c r="EE5" s="89"/>
      <c r="EF5" s="89"/>
      <c r="EG5" s="89"/>
      <c r="EH5" s="89"/>
      <c r="EI5" s="89"/>
      <c r="EJ5" s="89"/>
      <c r="EK5" s="89"/>
      <c r="EL5" s="89"/>
      <c r="EM5" s="89"/>
    </row>
    <row r="6" spans="3:143" x14ac:dyDescent="0.3">
      <c r="E6" s="25" t="str">
        <f ca="1">IF(E7=0, "Jan ✓", "Jan")</f>
        <v>Jan ✓</v>
      </c>
      <c r="F6" s="25" t="str">
        <f ca="1">IF(F7=0, "Feb ✓", "Feb")</f>
        <v>Feb ✓</v>
      </c>
      <c r="G6" s="25" t="str">
        <f ca="1">IF(G7=0, "Mar ✓", "Mar")</f>
        <v>Mar ✓</v>
      </c>
      <c r="H6" s="25" t="str">
        <f ca="1">IF(H7=0, "Apr ✓", "Apr")</f>
        <v>Apr ✓</v>
      </c>
      <c r="I6" s="25" t="str">
        <f ca="1">IF(I7=0, "May ✓", "May")</f>
        <v>May ✓</v>
      </c>
      <c r="J6" s="25" t="str">
        <f ca="1">IF(J7=0, "Jun ✓", "Jun")</f>
        <v>Jun ✓</v>
      </c>
      <c r="K6" s="25" t="str">
        <f ca="1">IF(K7=0, "Jul ✓", "Jul")</f>
        <v>Jul ✓</v>
      </c>
      <c r="L6" s="25" t="str">
        <f ca="1">IF(L7=0, "Aug ✓", "Aug")</f>
        <v>Aug ✓</v>
      </c>
      <c r="M6" s="25" t="str">
        <f ca="1">IF(M7=0, "Sep ✓", "Sep")</f>
        <v>Sep ✓</v>
      </c>
      <c r="N6" s="25" t="str">
        <f ca="1">IF(N7=0, "Oct ✓", "Oct")</f>
        <v>Oct ✓</v>
      </c>
      <c r="O6" s="25" t="str">
        <f ca="1">IF(O7=0, "Nov ✓", "Nov")</f>
        <v>Nov ✓</v>
      </c>
      <c r="P6" s="25" t="str">
        <f ca="1">IF(P7=0, "Dec ✓", "Dec")</f>
        <v>Dec ✓</v>
      </c>
      <c r="Q6" s="25" t="str">
        <f ca="1">IF(Q7=0, "Total ✓", "Total")</f>
        <v>Total ✓</v>
      </c>
      <c r="S6" s="25" t="str">
        <f ca="1">IF(S7=0, "Jan ✓", "Jan")</f>
        <v>Jan ✓</v>
      </c>
      <c r="T6" s="25" t="str">
        <f ca="1">IF(T7=0, "Feb ✓", "Feb")</f>
        <v>Feb ✓</v>
      </c>
      <c r="U6" s="25" t="str">
        <f ca="1">IF(U7=0, "Mar ✓", "Mar")</f>
        <v>Mar ✓</v>
      </c>
      <c r="V6" s="25" t="str">
        <f ca="1">IF(V7=0, "Apr ✓", "Apr")</f>
        <v>Apr ✓</v>
      </c>
      <c r="W6" s="25" t="str">
        <f ca="1">IF(W7=0, "May ✓", "May")</f>
        <v>May ✓</v>
      </c>
      <c r="X6" s="25" t="str">
        <f ca="1">IF(X7=0, "Jun ✓", "Jun")</f>
        <v>Jun ✓</v>
      </c>
      <c r="Y6" s="25" t="str">
        <f ca="1">IF(Y7=0, "Jul ✓", "Jul")</f>
        <v>Jul ✓</v>
      </c>
      <c r="Z6" s="25" t="str">
        <f ca="1">IF(Z7=0, "Aug ✓", "Aug")</f>
        <v>Aug ✓</v>
      </c>
      <c r="AA6" s="25" t="str">
        <f ca="1">IF(AA7=0, "Sep ✓", "Sep")</f>
        <v>Sep ✓</v>
      </c>
      <c r="AB6" s="25" t="str">
        <f ca="1">IF(AB7=0, "Oct ✓", "Oct")</f>
        <v>Oct ✓</v>
      </c>
      <c r="AC6" s="25" t="str">
        <f ca="1">IF(AC7=0, "Nov ✓", "Nov")</f>
        <v>Nov ✓</v>
      </c>
      <c r="AD6" s="25" t="str">
        <f ca="1">IF(AD7=0, "Dec ✓", "Dec")</f>
        <v>Dec ✓</v>
      </c>
      <c r="AE6" s="25" t="str">
        <f ca="1">IF(AE7=0, "Total ✓", "Total")</f>
        <v>Total ✓</v>
      </c>
      <c r="AG6" s="25" t="str">
        <f t="shared" ref="AG6" ca="1" si="8">IF(AG7=0, "Jan ✓", "Jan")</f>
        <v>Jan ✓</v>
      </c>
      <c r="AH6" s="25" t="str">
        <f t="shared" ref="AH6" ca="1" si="9">IF(AH7=0, "Feb ✓", "Feb")</f>
        <v>Feb ✓</v>
      </c>
      <c r="AI6" s="25" t="str">
        <f t="shared" ref="AI6" ca="1" si="10">IF(AI7=0, "Mar ✓", "Mar")</f>
        <v>Mar ✓</v>
      </c>
      <c r="AJ6" s="25" t="str">
        <f t="shared" ref="AJ6" ca="1" si="11">IF(AJ7=0, "Apr ✓", "Apr")</f>
        <v>Apr ✓</v>
      </c>
      <c r="AK6" s="25" t="str">
        <f t="shared" ref="AK6" ca="1" si="12">IF(AK7=0, "May ✓", "May")</f>
        <v>May ✓</v>
      </c>
      <c r="AL6" s="25" t="str">
        <f t="shared" ref="AL6" ca="1" si="13">IF(AL7=0, "Jun ✓", "Jun")</f>
        <v>Jun ✓</v>
      </c>
      <c r="AM6" s="25" t="str">
        <f t="shared" ref="AM6" ca="1" si="14">IF(AM7=0, "Jul ✓", "Jul")</f>
        <v>Jul ✓</v>
      </c>
      <c r="AN6" s="25" t="str">
        <f t="shared" ref="AN6" ca="1" si="15">IF(AN7=0, "Aug ✓", "Aug")</f>
        <v>Aug ✓</v>
      </c>
      <c r="AO6" s="25" t="str">
        <f t="shared" ref="AO6" ca="1" si="16">IF(AO7=0, "Sep ✓", "Sep")</f>
        <v>Sep ✓</v>
      </c>
      <c r="AP6" s="25" t="str">
        <f t="shared" ref="AP6" ca="1" si="17">IF(AP7=0, "Oct ✓", "Oct")</f>
        <v>Oct ✓</v>
      </c>
      <c r="AQ6" s="25" t="str">
        <f t="shared" ref="AQ6" ca="1" si="18">IF(AQ7=0, "Nov ✓", "Nov")</f>
        <v>Nov ✓</v>
      </c>
      <c r="AR6" s="25" t="str">
        <f t="shared" ref="AR6" ca="1" si="19">IF(AR7=0, "Dec ✓", "Dec")</f>
        <v>Dec ✓</v>
      </c>
      <c r="AS6" s="25" t="str">
        <f t="shared" ref="AS6" ca="1" si="20">IF(AS7=0, "Total ✓", "Total")</f>
        <v>Total ✓</v>
      </c>
      <c r="AU6" s="25" t="str">
        <f t="shared" ref="AU6" ca="1" si="21">IF(AU7=0, "Jan ✓", "Jan")</f>
        <v>Jan ✓</v>
      </c>
      <c r="AV6" s="25" t="str">
        <f t="shared" ref="AV6" ca="1" si="22">IF(AV7=0, "Feb ✓", "Feb")</f>
        <v>Feb ✓</v>
      </c>
      <c r="AW6" s="25" t="str">
        <f t="shared" ref="AW6" ca="1" si="23">IF(AW7=0, "Mar ✓", "Mar")</f>
        <v>Mar ✓</v>
      </c>
      <c r="AX6" s="25" t="str">
        <f t="shared" ref="AX6" ca="1" si="24">IF(AX7=0, "Apr ✓", "Apr")</f>
        <v>Apr ✓</v>
      </c>
      <c r="AY6" s="25" t="str">
        <f t="shared" ref="AY6" ca="1" si="25">IF(AY7=0, "May ✓", "May")</f>
        <v>May ✓</v>
      </c>
      <c r="AZ6" s="25" t="str">
        <f t="shared" ref="AZ6" ca="1" si="26">IF(AZ7=0, "Jun ✓", "Jun")</f>
        <v>Jun ✓</v>
      </c>
      <c r="BA6" s="25" t="str">
        <f t="shared" ref="BA6" ca="1" si="27">IF(BA7=0, "Jul ✓", "Jul")</f>
        <v>Jul ✓</v>
      </c>
      <c r="BB6" s="25" t="str">
        <f t="shared" ref="BB6" ca="1" si="28">IF(BB7=0, "Aug ✓", "Aug")</f>
        <v>Aug ✓</v>
      </c>
      <c r="BC6" s="25" t="str">
        <f t="shared" ref="BC6" ca="1" si="29">IF(BC7=0, "Sep ✓", "Sep")</f>
        <v>Sep ✓</v>
      </c>
      <c r="BD6" s="25" t="str">
        <f t="shared" ref="BD6" ca="1" si="30">IF(BD7=0, "Oct ✓", "Oct")</f>
        <v>Oct ✓</v>
      </c>
      <c r="BE6" s="25" t="str">
        <f t="shared" ref="BE6" ca="1" si="31">IF(BE7=0, "Nov ✓", "Nov")</f>
        <v>Nov ✓</v>
      </c>
      <c r="BF6" s="25" t="str">
        <f t="shared" ref="BF6" ca="1" si="32">IF(BF7=0, "Dec ✓", "Dec")</f>
        <v>Dec ✓</v>
      </c>
      <c r="BG6" s="25" t="str">
        <f t="shared" ref="BG6" ca="1" si="33">IF(BG7=0, "Total ✓", "Total")</f>
        <v>Total ✓</v>
      </c>
      <c r="BI6" s="25" t="str">
        <f t="shared" ref="BI6" ca="1" si="34">IF(BI7=0, "Jan ✓", "Jan")</f>
        <v>Jan ✓</v>
      </c>
      <c r="BJ6" s="25" t="str">
        <f t="shared" ref="BJ6" ca="1" si="35">IF(BJ7=0, "Feb ✓", "Feb")</f>
        <v>Feb ✓</v>
      </c>
      <c r="BK6" s="25" t="str">
        <f t="shared" ref="BK6" ca="1" si="36">IF(BK7=0, "Mar ✓", "Mar")</f>
        <v>Mar ✓</v>
      </c>
      <c r="BL6" s="25" t="str">
        <f t="shared" ref="BL6" ca="1" si="37">IF(BL7=0, "Apr ✓", "Apr")</f>
        <v>Apr ✓</v>
      </c>
      <c r="BM6" s="25" t="str">
        <f t="shared" ref="BM6" ca="1" si="38">IF(BM7=0, "May ✓", "May")</f>
        <v>May ✓</v>
      </c>
      <c r="BN6" s="25" t="str">
        <f t="shared" ref="BN6" ca="1" si="39">IF(BN7=0, "Jun ✓", "Jun")</f>
        <v>Jun ✓</v>
      </c>
      <c r="BO6" s="25" t="str">
        <f t="shared" ref="BO6" ca="1" si="40">IF(BO7=0, "Jul ✓", "Jul")</f>
        <v>Jul ✓</v>
      </c>
      <c r="BP6" s="25" t="str">
        <f t="shared" ref="BP6" ca="1" si="41">IF(BP7=0, "Aug ✓", "Aug")</f>
        <v>Aug ✓</v>
      </c>
      <c r="BQ6" s="25" t="str">
        <f t="shared" ref="BQ6" ca="1" si="42">IF(BQ7=0, "Sep ✓", "Sep")</f>
        <v>Sep ✓</v>
      </c>
      <c r="BR6" s="25" t="str">
        <f t="shared" ref="BR6" ca="1" si="43">IF(BR7=0, "Oct ✓", "Oct")</f>
        <v>Oct ✓</v>
      </c>
      <c r="BS6" s="25" t="str">
        <f t="shared" ref="BS6" ca="1" si="44">IF(BS7=0, "Nov ✓", "Nov")</f>
        <v>Nov ✓</v>
      </c>
      <c r="BT6" s="25" t="str">
        <f t="shared" ref="BT6" ca="1" si="45">IF(BT7=0, "Dec ✓", "Dec")</f>
        <v>Dec ✓</v>
      </c>
      <c r="BU6" s="25" t="str">
        <f t="shared" ref="BU6" ca="1" si="46">IF(BU7=0, "Total ✓", "Total")</f>
        <v>Total ✓</v>
      </c>
      <c r="BW6" s="25" t="str">
        <f t="shared" ref="BW6" ca="1" si="47">IF(BW7=0, "Jan ✓", "Jan")</f>
        <v>Jan ✓</v>
      </c>
      <c r="BX6" s="25" t="str">
        <f t="shared" ref="BX6" ca="1" si="48">IF(BX7=0, "Feb ✓", "Feb")</f>
        <v>Feb ✓</v>
      </c>
      <c r="BY6" s="25" t="str">
        <f t="shared" ref="BY6" ca="1" si="49">IF(BY7=0, "Mar ✓", "Mar")</f>
        <v>Mar ✓</v>
      </c>
      <c r="BZ6" s="25" t="str">
        <f t="shared" ref="BZ6" ca="1" si="50">IF(BZ7=0, "Apr ✓", "Apr")</f>
        <v>Apr ✓</v>
      </c>
      <c r="CA6" s="25" t="str">
        <f t="shared" ref="CA6" ca="1" si="51">IF(CA7=0, "May ✓", "May")</f>
        <v>May ✓</v>
      </c>
      <c r="CB6" s="25" t="str">
        <f t="shared" ref="CB6" ca="1" si="52">IF(CB7=0, "Jun ✓", "Jun")</f>
        <v>Jun ✓</v>
      </c>
      <c r="CC6" s="25" t="str">
        <f t="shared" ref="CC6" ca="1" si="53">IF(CC7=0, "Jul ✓", "Jul")</f>
        <v>Jul ✓</v>
      </c>
      <c r="CD6" s="25" t="str">
        <f t="shared" ref="CD6" ca="1" si="54">IF(CD7=0, "Aug ✓", "Aug")</f>
        <v>Aug ✓</v>
      </c>
      <c r="CE6" s="25" t="str">
        <f t="shared" ref="CE6" ca="1" si="55">IF(CE7=0, "Sep ✓", "Sep")</f>
        <v>Sep ✓</v>
      </c>
      <c r="CF6" s="25" t="str">
        <f t="shared" ref="CF6" ca="1" si="56">IF(CF7=0, "Oct ✓", "Oct")</f>
        <v>Oct ✓</v>
      </c>
      <c r="CG6" s="25" t="str">
        <f t="shared" ref="CG6" ca="1" si="57">IF(CG7=0, "Nov ✓", "Nov")</f>
        <v>Nov ✓</v>
      </c>
      <c r="CH6" s="25" t="str">
        <f t="shared" ref="CH6" ca="1" si="58">IF(CH7=0, "Dec ✓", "Dec")</f>
        <v>Dec ✓</v>
      </c>
      <c r="CI6" s="25" t="str">
        <f t="shared" ref="CI6" ca="1" si="59">IF(CI7=0, "Total ✓", "Total")</f>
        <v>Total ✓</v>
      </c>
      <c r="CK6" s="25" t="str">
        <f t="shared" ref="CK6" ca="1" si="60">IF(CK7=0, "Jan ✓", "Jan")</f>
        <v>Jan ✓</v>
      </c>
      <c r="CL6" s="25" t="str">
        <f t="shared" ref="CL6" ca="1" si="61">IF(CL7=0, "Feb ✓", "Feb")</f>
        <v>Feb ✓</v>
      </c>
      <c r="CM6" s="25" t="str">
        <f t="shared" ref="CM6" ca="1" si="62">IF(CM7=0, "Mar ✓", "Mar")</f>
        <v>Mar ✓</v>
      </c>
      <c r="CN6" s="25" t="str">
        <f t="shared" ref="CN6" ca="1" si="63">IF(CN7=0, "Apr ✓", "Apr")</f>
        <v>Apr ✓</v>
      </c>
      <c r="CO6" s="25" t="str">
        <f t="shared" ref="CO6" ca="1" si="64">IF(CO7=0, "May ✓", "May")</f>
        <v>May ✓</v>
      </c>
      <c r="CP6" s="25" t="str">
        <f t="shared" ref="CP6" ca="1" si="65">IF(CP7=0, "Jun ✓", "Jun")</f>
        <v>Jun ✓</v>
      </c>
      <c r="CQ6" s="25" t="str">
        <f t="shared" ref="CQ6" ca="1" si="66">IF(CQ7=0, "Jul ✓", "Jul")</f>
        <v>Jul ✓</v>
      </c>
      <c r="CR6" s="25" t="str">
        <f t="shared" ref="CR6" ca="1" si="67">IF(CR7=0, "Aug ✓", "Aug")</f>
        <v>Aug ✓</v>
      </c>
      <c r="CS6" s="25" t="str">
        <f t="shared" ref="CS6" ca="1" si="68">IF(CS7=0, "Sep ✓", "Sep")</f>
        <v>Sep ✓</v>
      </c>
      <c r="CT6" s="25" t="str">
        <f t="shared" ref="CT6" ca="1" si="69">IF(CT7=0, "Oct ✓", "Oct")</f>
        <v>Oct ✓</v>
      </c>
      <c r="CU6" s="25" t="str">
        <f t="shared" ref="CU6" ca="1" si="70">IF(CU7=0, "Nov ✓", "Nov")</f>
        <v>Nov ✓</v>
      </c>
      <c r="CV6" s="25" t="str">
        <f t="shared" ref="CV6" ca="1" si="71">IF(CV7=0, "Dec ✓", "Dec")</f>
        <v>Dec ✓</v>
      </c>
      <c r="CW6" s="25" t="str">
        <f t="shared" ref="CW6" ca="1" si="72">IF(CW7=0, "Total ✓", "Total")</f>
        <v>Total ✓</v>
      </c>
      <c r="CY6" s="25" t="str">
        <f t="shared" ref="CY6" ca="1" si="73">IF(CY7=0, "Jan ✓", "Jan")</f>
        <v>Jan ✓</v>
      </c>
      <c r="CZ6" s="25" t="str">
        <f t="shared" ref="CZ6" ca="1" si="74">IF(CZ7=0, "Feb ✓", "Feb")</f>
        <v>Feb ✓</v>
      </c>
      <c r="DA6" s="25" t="str">
        <f t="shared" ref="DA6" ca="1" si="75">IF(DA7=0, "Mar ✓", "Mar")</f>
        <v>Mar ✓</v>
      </c>
      <c r="DB6" s="25" t="str">
        <f t="shared" ref="DB6" ca="1" si="76">IF(DB7=0, "Apr ✓", "Apr")</f>
        <v>Apr ✓</v>
      </c>
      <c r="DC6" s="25" t="str">
        <f t="shared" ref="DC6" ca="1" si="77">IF(DC7=0, "May ✓", "May")</f>
        <v>May ✓</v>
      </c>
      <c r="DD6" s="25" t="str">
        <f t="shared" ref="DD6" ca="1" si="78">IF(DD7=0, "Jun ✓", "Jun")</f>
        <v>Jun ✓</v>
      </c>
      <c r="DE6" s="25" t="str">
        <f t="shared" ref="DE6" ca="1" si="79">IF(DE7=0, "Jul ✓", "Jul")</f>
        <v>Jul ✓</v>
      </c>
      <c r="DF6" s="25" t="str">
        <f t="shared" ref="DF6" ca="1" si="80">IF(DF7=0, "Aug ✓", "Aug")</f>
        <v>Aug ✓</v>
      </c>
      <c r="DG6" s="25" t="str">
        <f t="shared" ref="DG6" ca="1" si="81">IF(DG7=0, "Sep ✓", "Sep")</f>
        <v>Sep ✓</v>
      </c>
      <c r="DH6" s="25" t="str">
        <f t="shared" ref="DH6" ca="1" si="82">IF(DH7=0, "Oct ✓", "Oct")</f>
        <v>Oct ✓</v>
      </c>
      <c r="DI6" s="25" t="str">
        <f t="shared" ref="DI6" ca="1" si="83">IF(DI7=0, "Nov ✓", "Nov")</f>
        <v>Nov ✓</v>
      </c>
      <c r="DJ6" s="25" t="str">
        <f t="shared" ref="DJ6" ca="1" si="84">IF(DJ7=0, "Dec ✓", "Dec")</f>
        <v>Dec ✓</v>
      </c>
      <c r="DK6" s="25" t="str">
        <f t="shared" ref="DK6" ca="1" si="85">IF(DK7=0, "Total ✓", "Total")</f>
        <v>Total ✓</v>
      </c>
      <c r="DM6" s="25" t="str">
        <f t="shared" ref="DM6" ca="1" si="86">IF(DM7=0, "Jan ✓", "Jan")</f>
        <v>Jan ✓</v>
      </c>
      <c r="DN6" s="25" t="str">
        <f t="shared" ref="DN6" ca="1" si="87">IF(DN7=0, "Feb ✓", "Feb")</f>
        <v>Feb ✓</v>
      </c>
      <c r="DO6" s="25" t="str">
        <f t="shared" ref="DO6" ca="1" si="88">IF(DO7=0, "Mar ✓", "Mar")</f>
        <v>Mar ✓</v>
      </c>
      <c r="DP6" s="25" t="str">
        <f t="shared" ref="DP6" ca="1" si="89">IF(DP7=0, "Apr ✓", "Apr")</f>
        <v>Apr ✓</v>
      </c>
      <c r="DQ6" s="25" t="str">
        <f t="shared" ref="DQ6" ca="1" si="90">IF(DQ7=0, "May ✓", "May")</f>
        <v>May ✓</v>
      </c>
      <c r="DR6" s="25" t="str">
        <f t="shared" ref="DR6" ca="1" si="91">IF(DR7=0, "Jun ✓", "Jun")</f>
        <v>Jun ✓</v>
      </c>
      <c r="DS6" s="25" t="str">
        <f t="shared" ref="DS6" ca="1" si="92">IF(DS7=0, "Jul ✓", "Jul")</f>
        <v>Jul ✓</v>
      </c>
      <c r="DT6" s="25" t="str">
        <f t="shared" ref="DT6" ca="1" si="93">IF(DT7=0, "Aug ✓", "Aug")</f>
        <v>Aug ✓</v>
      </c>
      <c r="DU6" s="25" t="str">
        <f t="shared" ref="DU6" ca="1" si="94">IF(DU7=0, "Sep ✓", "Sep")</f>
        <v>Sep ✓</v>
      </c>
      <c r="DV6" s="25" t="str">
        <f t="shared" ref="DV6" ca="1" si="95">IF(DV7=0, "Oct ✓", "Oct")</f>
        <v>Oct ✓</v>
      </c>
      <c r="DW6" s="25" t="str">
        <f t="shared" ref="DW6" ca="1" si="96">IF(DW7=0, "Nov ✓", "Nov")</f>
        <v>Nov ✓</v>
      </c>
      <c r="DX6" s="25" t="str">
        <f t="shared" ref="DX6" ca="1" si="97">IF(DX7=0, "Dec ✓", "Dec")</f>
        <v>Dec ✓</v>
      </c>
      <c r="DY6" s="25" t="str">
        <f t="shared" ref="DY6" ca="1" si="98">IF(DY7=0, "Total ✓", "Total")</f>
        <v>Total ✓</v>
      </c>
      <c r="EA6" s="25" t="str">
        <f t="shared" ref="EA6" ca="1" si="99">IF(EA7=0, "Jan ✓", "Jan")</f>
        <v>Jan ✓</v>
      </c>
      <c r="EB6" s="25" t="str">
        <f t="shared" ref="EB6" ca="1" si="100">IF(EB7=0, "Feb ✓", "Feb")</f>
        <v>Feb ✓</v>
      </c>
      <c r="EC6" s="25" t="str">
        <f t="shared" ref="EC6" ca="1" si="101">IF(EC7=0, "Mar ✓", "Mar")</f>
        <v>Mar ✓</v>
      </c>
      <c r="ED6" s="25" t="str">
        <f t="shared" ref="ED6" ca="1" si="102">IF(ED7=0, "Apr ✓", "Apr")</f>
        <v>Apr ✓</v>
      </c>
      <c r="EE6" s="25" t="str">
        <f t="shared" ref="EE6" ca="1" si="103">IF(EE7=0, "May ✓", "May")</f>
        <v>May ✓</v>
      </c>
      <c r="EF6" s="25" t="str">
        <f t="shared" ref="EF6" ca="1" si="104">IF(EF7=0, "Jun ✓", "Jun")</f>
        <v>Jun ✓</v>
      </c>
      <c r="EG6" s="25" t="str">
        <f t="shared" ref="EG6" ca="1" si="105">IF(EG7=0, "Jul ✓", "Jul")</f>
        <v>Jul ✓</v>
      </c>
      <c r="EH6" s="25" t="str">
        <f t="shared" ref="EH6" ca="1" si="106">IF(EH7=0, "Aug ✓", "Aug")</f>
        <v>Aug ✓</v>
      </c>
      <c r="EI6" s="25" t="str">
        <f t="shared" ref="EI6" ca="1" si="107">IF(EI7=0, "Sep ✓", "Sep")</f>
        <v>Sep ✓</v>
      </c>
      <c r="EJ6" s="25" t="str">
        <f t="shared" ref="EJ6" ca="1" si="108">IF(EJ7=0, "Oct ✓", "Oct")</f>
        <v>Oct ✓</v>
      </c>
      <c r="EK6" s="25" t="str">
        <f t="shared" ref="EK6" ca="1" si="109">IF(EK7=0, "Nov ✓", "Nov")</f>
        <v>Nov ✓</v>
      </c>
      <c r="EL6" s="25" t="str">
        <f t="shared" ref="EL6" ca="1" si="110">IF(EL7=0, "Dec ✓", "Dec")</f>
        <v>Dec ✓</v>
      </c>
      <c r="EM6" s="25" t="str">
        <f t="shared" ref="EM6" ca="1" si="111">IF(EM7=0, "Total ✓", "Total")</f>
        <v>Total ✓</v>
      </c>
    </row>
    <row r="7" spans="3:143" x14ac:dyDescent="0.3">
      <c r="C7" s="22" t="s">
        <v>20</v>
      </c>
      <c r="E7" s="23">
        <f ca="1">E20-(E36+E49)</f>
        <v>0</v>
      </c>
      <c r="F7" s="23">
        <f t="shared" ref="F7:Q7" ca="1" si="112">F20-(F36+F49)</f>
        <v>0</v>
      </c>
      <c r="G7" s="23">
        <f t="shared" ca="1" si="112"/>
        <v>0</v>
      </c>
      <c r="H7" s="23">
        <f t="shared" ca="1" si="112"/>
        <v>0</v>
      </c>
      <c r="I7" s="23">
        <f t="shared" ca="1" si="112"/>
        <v>0</v>
      </c>
      <c r="J7" s="23">
        <f t="shared" ca="1" si="112"/>
        <v>0</v>
      </c>
      <c r="K7" s="23">
        <f t="shared" ca="1" si="112"/>
        <v>0</v>
      </c>
      <c r="L7" s="23">
        <f t="shared" ca="1" si="112"/>
        <v>0</v>
      </c>
      <c r="M7" s="23">
        <f t="shared" ca="1" si="112"/>
        <v>0</v>
      </c>
      <c r="N7" s="23">
        <f t="shared" ca="1" si="112"/>
        <v>0</v>
      </c>
      <c r="O7" s="23">
        <f t="shared" ca="1" si="112"/>
        <v>0</v>
      </c>
      <c r="P7" s="23">
        <f t="shared" ca="1" si="112"/>
        <v>0</v>
      </c>
      <c r="Q7" s="24">
        <f t="shared" ca="1" si="112"/>
        <v>0</v>
      </c>
      <c r="S7" s="23">
        <f ca="1">S20-(S36+S49)</f>
        <v>0</v>
      </c>
      <c r="T7" s="23">
        <f t="shared" ref="T7:AE7" ca="1" si="113">T20-(T36+T49)</f>
        <v>0</v>
      </c>
      <c r="U7" s="23">
        <f t="shared" ca="1" si="113"/>
        <v>0</v>
      </c>
      <c r="V7" s="23">
        <f t="shared" ca="1" si="113"/>
        <v>0</v>
      </c>
      <c r="W7" s="23">
        <f t="shared" ca="1" si="113"/>
        <v>0</v>
      </c>
      <c r="X7" s="23">
        <f t="shared" ca="1" si="113"/>
        <v>0</v>
      </c>
      <c r="Y7" s="23">
        <f t="shared" ca="1" si="113"/>
        <v>0</v>
      </c>
      <c r="Z7" s="23">
        <f t="shared" ca="1" si="113"/>
        <v>0</v>
      </c>
      <c r="AA7" s="23">
        <f t="shared" ca="1" si="113"/>
        <v>0</v>
      </c>
      <c r="AB7" s="23">
        <f t="shared" ca="1" si="113"/>
        <v>0</v>
      </c>
      <c r="AC7" s="23">
        <f t="shared" ca="1" si="113"/>
        <v>0</v>
      </c>
      <c r="AD7" s="23">
        <f t="shared" ca="1" si="113"/>
        <v>0</v>
      </c>
      <c r="AE7" s="24">
        <f t="shared" ca="1" si="113"/>
        <v>0</v>
      </c>
      <c r="AG7" s="23">
        <f t="shared" ref="AG7:AS7" ca="1" si="114">AG20-(AG36+AG49)</f>
        <v>0</v>
      </c>
      <c r="AH7" s="23">
        <f t="shared" ca="1" si="114"/>
        <v>0</v>
      </c>
      <c r="AI7" s="23">
        <f t="shared" ca="1" si="114"/>
        <v>0</v>
      </c>
      <c r="AJ7" s="23">
        <f t="shared" ca="1" si="114"/>
        <v>0</v>
      </c>
      <c r="AK7" s="23">
        <f t="shared" ca="1" si="114"/>
        <v>0</v>
      </c>
      <c r="AL7" s="23">
        <f t="shared" ca="1" si="114"/>
        <v>0</v>
      </c>
      <c r="AM7" s="23">
        <f t="shared" ca="1" si="114"/>
        <v>0</v>
      </c>
      <c r="AN7" s="23">
        <f t="shared" ca="1" si="114"/>
        <v>0</v>
      </c>
      <c r="AO7" s="23">
        <f t="shared" ca="1" si="114"/>
        <v>0</v>
      </c>
      <c r="AP7" s="23">
        <f t="shared" ca="1" si="114"/>
        <v>0</v>
      </c>
      <c r="AQ7" s="23">
        <f t="shared" ca="1" si="114"/>
        <v>0</v>
      </c>
      <c r="AR7" s="23">
        <f t="shared" ca="1" si="114"/>
        <v>0</v>
      </c>
      <c r="AS7" s="24">
        <f t="shared" ca="1" si="114"/>
        <v>0</v>
      </c>
      <c r="AU7" s="23">
        <f t="shared" ref="AU7:BG7" ca="1" si="115">AU20-(AU36+AU49)</f>
        <v>0</v>
      </c>
      <c r="AV7" s="23">
        <f t="shared" ca="1" si="115"/>
        <v>0</v>
      </c>
      <c r="AW7" s="23">
        <f t="shared" ca="1" si="115"/>
        <v>0</v>
      </c>
      <c r="AX7" s="23">
        <f t="shared" ca="1" si="115"/>
        <v>0</v>
      </c>
      <c r="AY7" s="23">
        <f t="shared" ca="1" si="115"/>
        <v>0</v>
      </c>
      <c r="AZ7" s="23">
        <f t="shared" ca="1" si="115"/>
        <v>0</v>
      </c>
      <c r="BA7" s="23">
        <f t="shared" ca="1" si="115"/>
        <v>0</v>
      </c>
      <c r="BB7" s="23">
        <f t="shared" ca="1" si="115"/>
        <v>0</v>
      </c>
      <c r="BC7" s="23">
        <f t="shared" ca="1" si="115"/>
        <v>0</v>
      </c>
      <c r="BD7" s="23">
        <f t="shared" ca="1" si="115"/>
        <v>0</v>
      </c>
      <c r="BE7" s="23">
        <f t="shared" ca="1" si="115"/>
        <v>0</v>
      </c>
      <c r="BF7" s="23">
        <f t="shared" ca="1" si="115"/>
        <v>0</v>
      </c>
      <c r="BG7" s="24">
        <f t="shared" ca="1" si="115"/>
        <v>0</v>
      </c>
      <c r="BI7" s="23">
        <f t="shared" ref="BI7:BU7" ca="1" si="116">BI20-(BI36+BI49)</f>
        <v>0</v>
      </c>
      <c r="BJ7" s="23">
        <f t="shared" ca="1" si="116"/>
        <v>0</v>
      </c>
      <c r="BK7" s="23">
        <f t="shared" ca="1" si="116"/>
        <v>0</v>
      </c>
      <c r="BL7" s="23">
        <f t="shared" ca="1" si="116"/>
        <v>0</v>
      </c>
      <c r="BM7" s="23">
        <f t="shared" ca="1" si="116"/>
        <v>0</v>
      </c>
      <c r="BN7" s="23">
        <f t="shared" ca="1" si="116"/>
        <v>0</v>
      </c>
      <c r="BO7" s="23">
        <f t="shared" ca="1" si="116"/>
        <v>0</v>
      </c>
      <c r="BP7" s="23">
        <f t="shared" ca="1" si="116"/>
        <v>0</v>
      </c>
      <c r="BQ7" s="23">
        <f t="shared" ca="1" si="116"/>
        <v>0</v>
      </c>
      <c r="BR7" s="23">
        <f t="shared" ca="1" si="116"/>
        <v>0</v>
      </c>
      <c r="BS7" s="23">
        <f t="shared" ca="1" si="116"/>
        <v>0</v>
      </c>
      <c r="BT7" s="23">
        <f t="shared" ca="1" si="116"/>
        <v>0</v>
      </c>
      <c r="BU7" s="24">
        <f t="shared" ca="1" si="116"/>
        <v>0</v>
      </c>
      <c r="BW7" s="23">
        <f t="shared" ref="BW7:CI7" ca="1" si="117">BW20-(BW36+BW49)</f>
        <v>0</v>
      </c>
      <c r="BX7" s="23">
        <f t="shared" ca="1" si="117"/>
        <v>0</v>
      </c>
      <c r="BY7" s="23">
        <f t="shared" ca="1" si="117"/>
        <v>0</v>
      </c>
      <c r="BZ7" s="23">
        <f t="shared" ca="1" si="117"/>
        <v>0</v>
      </c>
      <c r="CA7" s="23">
        <f t="shared" ca="1" si="117"/>
        <v>0</v>
      </c>
      <c r="CB7" s="23">
        <f t="shared" ca="1" si="117"/>
        <v>0</v>
      </c>
      <c r="CC7" s="23">
        <f t="shared" ca="1" si="117"/>
        <v>0</v>
      </c>
      <c r="CD7" s="23">
        <f t="shared" ca="1" si="117"/>
        <v>0</v>
      </c>
      <c r="CE7" s="23">
        <f t="shared" ca="1" si="117"/>
        <v>0</v>
      </c>
      <c r="CF7" s="23">
        <f t="shared" ca="1" si="117"/>
        <v>0</v>
      </c>
      <c r="CG7" s="23">
        <f t="shared" ca="1" si="117"/>
        <v>0</v>
      </c>
      <c r="CH7" s="23">
        <f t="shared" ca="1" si="117"/>
        <v>0</v>
      </c>
      <c r="CI7" s="24">
        <f t="shared" ca="1" si="117"/>
        <v>0</v>
      </c>
      <c r="CK7" s="23">
        <f t="shared" ref="CK7:CW7" ca="1" si="118">CK20-(CK36+CK49)</f>
        <v>0</v>
      </c>
      <c r="CL7" s="23">
        <f t="shared" ca="1" si="118"/>
        <v>0</v>
      </c>
      <c r="CM7" s="23">
        <f t="shared" ca="1" si="118"/>
        <v>0</v>
      </c>
      <c r="CN7" s="23">
        <f t="shared" ca="1" si="118"/>
        <v>0</v>
      </c>
      <c r="CO7" s="23">
        <f t="shared" ca="1" si="118"/>
        <v>0</v>
      </c>
      <c r="CP7" s="23">
        <f t="shared" ca="1" si="118"/>
        <v>0</v>
      </c>
      <c r="CQ7" s="23">
        <f t="shared" ca="1" si="118"/>
        <v>0</v>
      </c>
      <c r="CR7" s="23">
        <f t="shared" ca="1" si="118"/>
        <v>0</v>
      </c>
      <c r="CS7" s="23">
        <f t="shared" ca="1" si="118"/>
        <v>0</v>
      </c>
      <c r="CT7" s="23">
        <f t="shared" ca="1" si="118"/>
        <v>0</v>
      </c>
      <c r="CU7" s="23">
        <f t="shared" ca="1" si="118"/>
        <v>0</v>
      </c>
      <c r="CV7" s="23">
        <f t="shared" ca="1" si="118"/>
        <v>0</v>
      </c>
      <c r="CW7" s="24">
        <f t="shared" ca="1" si="118"/>
        <v>0</v>
      </c>
      <c r="CY7" s="23">
        <f t="shared" ref="CY7:DK7" ca="1" si="119">CY20-(CY36+CY49)</f>
        <v>0</v>
      </c>
      <c r="CZ7" s="23">
        <f t="shared" ca="1" si="119"/>
        <v>0</v>
      </c>
      <c r="DA7" s="23">
        <f t="shared" ca="1" si="119"/>
        <v>0</v>
      </c>
      <c r="DB7" s="23">
        <f t="shared" ca="1" si="119"/>
        <v>0</v>
      </c>
      <c r="DC7" s="23">
        <f t="shared" ca="1" si="119"/>
        <v>0</v>
      </c>
      <c r="DD7" s="23">
        <f t="shared" ca="1" si="119"/>
        <v>0</v>
      </c>
      <c r="DE7" s="23">
        <f t="shared" ca="1" si="119"/>
        <v>0</v>
      </c>
      <c r="DF7" s="23">
        <f t="shared" ca="1" si="119"/>
        <v>0</v>
      </c>
      <c r="DG7" s="23">
        <f t="shared" ca="1" si="119"/>
        <v>0</v>
      </c>
      <c r="DH7" s="23">
        <f t="shared" ca="1" si="119"/>
        <v>0</v>
      </c>
      <c r="DI7" s="23">
        <f t="shared" ca="1" si="119"/>
        <v>0</v>
      </c>
      <c r="DJ7" s="23">
        <f t="shared" ca="1" si="119"/>
        <v>0</v>
      </c>
      <c r="DK7" s="24">
        <f t="shared" ca="1" si="119"/>
        <v>0</v>
      </c>
      <c r="DM7" s="23">
        <f t="shared" ref="DM7:DY7" ca="1" si="120">DM20-(DM36+DM49)</f>
        <v>0</v>
      </c>
      <c r="DN7" s="23">
        <f t="shared" ca="1" si="120"/>
        <v>0</v>
      </c>
      <c r="DO7" s="23">
        <f t="shared" ca="1" si="120"/>
        <v>0</v>
      </c>
      <c r="DP7" s="23">
        <f t="shared" ca="1" si="120"/>
        <v>0</v>
      </c>
      <c r="DQ7" s="23">
        <f t="shared" ca="1" si="120"/>
        <v>0</v>
      </c>
      <c r="DR7" s="23">
        <f t="shared" ca="1" si="120"/>
        <v>0</v>
      </c>
      <c r="DS7" s="23">
        <f t="shared" ca="1" si="120"/>
        <v>0</v>
      </c>
      <c r="DT7" s="23">
        <f t="shared" ca="1" si="120"/>
        <v>0</v>
      </c>
      <c r="DU7" s="23">
        <f t="shared" ca="1" si="120"/>
        <v>0</v>
      </c>
      <c r="DV7" s="23">
        <f t="shared" ca="1" si="120"/>
        <v>0</v>
      </c>
      <c r="DW7" s="23">
        <f t="shared" ca="1" si="120"/>
        <v>0</v>
      </c>
      <c r="DX7" s="23">
        <f t="shared" ca="1" si="120"/>
        <v>0</v>
      </c>
      <c r="DY7" s="24">
        <f t="shared" ca="1" si="120"/>
        <v>0</v>
      </c>
      <c r="EA7" s="23">
        <f t="shared" ref="EA7:EM7" ca="1" si="121">EA20-(EA36+EA49)</f>
        <v>0</v>
      </c>
      <c r="EB7" s="23">
        <f t="shared" ca="1" si="121"/>
        <v>0</v>
      </c>
      <c r="EC7" s="23">
        <f t="shared" ca="1" si="121"/>
        <v>0</v>
      </c>
      <c r="ED7" s="23">
        <f t="shared" ca="1" si="121"/>
        <v>0</v>
      </c>
      <c r="EE7" s="23">
        <f t="shared" ca="1" si="121"/>
        <v>0</v>
      </c>
      <c r="EF7" s="23">
        <f t="shared" ca="1" si="121"/>
        <v>0</v>
      </c>
      <c r="EG7" s="23">
        <f t="shared" ca="1" si="121"/>
        <v>0</v>
      </c>
      <c r="EH7" s="23">
        <f t="shared" ca="1" si="121"/>
        <v>0</v>
      </c>
      <c r="EI7" s="23">
        <f t="shared" ca="1" si="121"/>
        <v>0</v>
      </c>
      <c r="EJ7" s="23">
        <f t="shared" ca="1" si="121"/>
        <v>0</v>
      </c>
      <c r="EK7" s="23">
        <f t="shared" ca="1" si="121"/>
        <v>0</v>
      </c>
      <c r="EL7" s="23">
        <f t="shared" ca="1" si="121"/>
        <v>0</v>
      </c>
      <c r="EM7" s="24">
        <f t="shared" ca="1" si="121"/>
        <v>0</v>
      </c>
    </row>
    <row r="9" spans="3:143" x14ac:dyDescent="0.3">
      <c r="C9" s="65" t="s">
        <v>4</v>
      </c>
      <c r="E9" s="14">
        <f>DATE(E$5,1,1)</f>
        <v>45658</v>
      </c>
      <c r="F9" s="14">
        <f>DATE(E$5,2,1)</f>
        <v>45689</v>
      </c>
      <c r="G9" s="14">
        <f>DATE(E$5,3,1)</f>
        <v>45717</v>
      </c>
      <c r="H9" s="14">
        <f>DATE(E$5,4,1)</f>
        <v>45748</v>
      </c>
      <c r="I9" s="14">
        <f>DATE(E$5,5,1)</f>
        <v>45778</v>
      </c>
      <c r="J9" s="14">
        <f>DATE(E$5,6,1)</f>
        <v>45809</v>
      </c>
      <c r="K9" s="14">
        <f>DATE(E$5,7,1)</f>
        <v>45839</v>
      </c>
      <c r="L9" s="14">
        <f>DATE(E$5,8,1)</f>
        <v>45870</v>
      </c>
      <c r="M9" s="14">
        <f>DATE(E$5,9,1)</f>
        <v>45901</v>
      </c>
      <c r="N9" s="14">
        <f>DATE(E$5,10,1)</f>
        <v>45931</v>
      </c>
      <c r="O9" s="14">
        <f>DATE(E$5,11,1)</f>
        <v>45962</v>
      </c>
      <c r="P9" s="14">
        <f>DATE(E$5,12,1)</f>
        <v>45992</v>
      </c>
      <c r="Q9" s="13">
        <f>E$5</f>
        <v>2025</v>
      </c>
      <c r="S9" s="14">
        <f>DATE(S$5,1,1)</f>
        <v>46023</v>
      </c>
      <c r="T9" s="14">
        <f>DATE(S$5,2,1)</f>
        <v>46054</v>
      </c>
      <c r="U9" s="14">
        <f>DATE(S$5,3,1)</f>
        <v>46082</v>
      </c>
      <c r="V9" s="14">
        <f>DATE(S$5,4,1)</f>
        <v>46113</v>
      </c>
      <c r="W9" s="14">
        <f>DATE(S$5,5,1)</f>
        <v>46143</v>
      </c>
      <c r="X9" s="14">
        <f>DATE(S$5,6,1)</f>
        <v>46174</v>
      </c>
      <c r="Y9" s="14">
        <f>DATE(S$5,7,1)</f>
        <v>46204</v>
      </c>
      <c r="Z9" s="14">
        <f>DATE(S$5,8,1)</f>
        <v>46235</v>
      </c>
      <c r="AA9" s="14">
        <f>DATE(S$5,9,1)</f>
        <v>46266</v>
      </c>
      <c r="AB9" s="14">
        <f>DATE(S$5,10,1)</f>
        <v>46296</v>
      </c>
      <c r="AC9" s="14">
        <f>DATE(S$5,11,1)</f>
        <v>46327</v>
      </c>
      <c r="AD9" s="14">
        <f>DATE(S$5,12,1)</f>
        <v>46357</v>
      </c>
      <c r="AE9" s="13">
        <f>S$5</f>
        <v>2026</v>
      </c>
      <c r="AG9" s="14">
        <f t="shared" ref="AG9" si="122">DATE(AG$5,1,1)</f>
        <v>46388</v>
      </c>
      <c r="AH9" s="14">
        <f t="shared" ref="AH9" si="123">DATE(AG$5,2,1)</f>
        <v>46419</v>
      </c>
      <c r="AI9" s="14">
        <f t="shared" ref="AI9" si="124">DATE(AG$5,3,1)</f>
        <v>46447</v>
      </c>
      <c r="AJ9" s="14">
        <f t="shared" ref="AJ9" si="125">DATE(AG$5,4,1)</f>
        <v>46478</v>
      </c>
      <c r="AK9" s="14">
        <f t="shared" ref="AK9" si="126">DATE(AG$5,5,1)</f>
        <v>46508</v>
      </c>
      <c r="AL9" s="14">
        <f t="shared" ref="AL9" si="127">DATE(AG$5,6,1)</f>
        <v>46539</v>
      </c>
      <c r="AM9" s="14">
        <f t="shared" ref="AM9" si="128">DATE(AG$5,7,1)</f>
        <v>46569</v>
      </c>
      <c r="AN9" s="14">
        <f t="shared" ref="AN9" si="129">DATE(AG$5,8,1)</f>
        <v>46600</v>
      </c>
      <c r="AO9" s="14">
        <f t="shared" ref="AO9" si="130">DATE(AG$5,9,1)</f>
        <v>46631</v>
      </c>
      <c r="AP9" s="14">
        <f t="shared" ref="AP9" si="131">DATE(AG$5,10,1)</f>
        <v>46661</v>
      </c>
      <c r="AQ9" s="14">
        <f t="shared" ref="AQ9" si="132">DATE(AG$5,11,1)</f>
        <v>46692</v>
      </c>
      <c r="AR9" s="14">
        <f t="shared" ref="AR9" si="133">DATE(AG$5,12,1)</f>
        <v>46722</v>
      </c>
      <c r="AS9" s="13">
        <f t="shared" ref="AS9" si="134">AG$5</f>
        <v>2027</v>
      </c>
      <c r="AU9" s="14">
        <f t="shared" ref="AU9" si="135">DATE(AU$5,1,1)</f>
        <v>46753</v>
      </c>
      <c r="AV9" s="14">
        <f t="shared" ref="AV9" si="136">DATE(AU$5,2,1)</f>
        <v>46784</v>
      </c>
      <c r="AW9" s="14">
        <f t="shared" ref="AW9" si="137">DATE(AU$5,3,1)</f>
        <v>46813</v>
      </c>
      <c r="AX9" s="14">
        <f t="shared" ref="AX9" si="138">DATE(AU$5,4,1)</f>
        <v>46844</v>
      </c>
      <c r="AY9" s="14">
        <f t="shared" ref="AY9" si="139">DATE(AU$5,5,1)</f>
        <v>46874</v>
      </c>
      <c r="AZ9" s="14">
        <f t="shared" ref="AZ9" si="140">DATE(AU$5,6,1)</f>
        <v>46905</v>
      </c>
      <c r="BA9" s="14">
        <f t="shared" ref="BA9" si="141">DATE(AU$5,7,1)</f>
        <v>46935</v>
      </c>
      <c r="BB9" s="14">
        <f t="shared" ref="BB9" si="142">DATE(AU$5,8,1)</f>
        <v>46966</v>
      </c>
      <c r="BC9" s="14">
        <f t="shared" ref="BC9" si="143">DATE(AU$5,9,1)</f>
        <v>46997</v>
      </c>
      <c r="BD9" s="14">
        <f t="shared" ref="BD9" si="144">DATE(AU$5,10,1)</f>
        <v>47027</v>
      </c>
      <c r="BE9" s="14">
        <f t="shared" ref="BE9" si="145">DATE(AU$5,11,1)</f>
        <v>47058</v>
      </c>
      <c r="BF9" s="14">
        <f t="shared" ref="BF9" si="146">DATE(AU$5,12,1)</f>
        <v>47088</v>
      </c>
      <c r="BG9" s="13">
        <f t="shared" ref="BG9" si="147">AU$5</f>
        <v>2028</v>
      </c>
      <c r="BI9" s="14">
        <f t="shared" ref="BI9" si="148">DATE(BI$5,1,1)</f>
        <v>47119</v>
      </c>
      <c r="BJ9" s="14">
        <f t="shared" ref="BJ9" si="149">DATE(BI$5,2,1)</f>
        <v>47150</v>
      </c>
      <c r="BK9" s="14">
        <f t="shared" ref="BK9" si="150">DATE(BI$5,3,1)</f>
        <v>47178</v>
      </c>
      <c r="BL9" s="14">
        <f t="shared" ref="BL9" si="151">DATE(BI$5,4,1)</f>
        <v>47209</v>
      </c>
      <c r="BM9" s="14">
        <f t="shared" ref="BM9" si="152">DATE(BI$5,5,1)</f>
        <v>47239</v>
      </c>
      <c r="BN9" s="14">
        <f t="shared" ref="BN9" si="153">DATE(BI$5,6,1)</f>
        <v>47270</v>
      </c>
      <c r="BO9" s="14">
        <f t="shared" ref="BO9" si="154">DATE(BI$5,7,1)</f>
        <v>47300</v>
      </c>
      <c r="BP9" s="14">
        <f t="shared" ref="BP9" si="155">DATE(BI$5,8,1)</f>
        <v>47331</v>
      </c>
      <c r="BQ9" s="14">
        <f t="shared" ref="BQ9" si="156">DATE(BI$5,9,1)</f>
        <v>47362</v>
      </c>
      <c r="BR9" s="14">
        <f t="shared" ref="BR9" si="157">DATE(BI$5,10,1)</f>
        <v>47392</v>
      </c>
      <c r="BS9" s="14">
        <f t="shared" ref="BS9" si="158">DATE(BI$5,11,1)</f>
        <v>47423</v>
      </c>
      <c r="BT9" s="14">
        <f t="shared" ref="BT9" si="159">DATE(BI$5,12,1)</f>
        <v>47453</v>
      </c>
      <c r="BU9" s="13">
        <f t="shared" ref="BU9" si="160">BI$5</f>
        <v>2029</v>
      </c>
      <c r="BW9" s="14">
        <f t="shared" ref="BW9" si="161">DATE(BW$5,1,1)</f>
        <v>47484</v>
      </c>
      <c r="BX9" s="14">
        <f t="shared" ref="BX9" si="162">DATE(BW$5,2,1)</f>
        <v>47515</v>
      </c>
      <c r="BY9" s="14">
        <f t="shared" ref="BY9" si="163">DATE(BW$5,3,1)</f>
        <v>47543</v>
      </c>
      <c r="BZ9" s="14">
        <f t="shared" ref="BZ9" si="164">DATE(BW$5,4,1)</f>
        <v>47574</v>
      </c>
      <c r="CA9" s="14">
        <f t="shared" ref="CA9" si="165">DATE(BW$5,5,1)</f>
        <v>47604</v>
      </c>
      <c r="CB9" s="14">
        <f t="shared" ref="CB9" si="166">DATE(BW$5,6,1)</f>
        <v>47635</v>
      </c>
      <c r="CC9" s="14">
        <f t="shared" ref="CC9" si="167">DATE(BW$5,7,1)</f>
        <v>47665</v>
      </c>
      <c r="CD9" s="14">
        <f t="shared" ref="CD9" si="168">DATE(BW$5,8,1)</f>
        <v>47696</v>
      </c>
      <c r="CE9" s="14">
        <f t="shared" ref="CE9" si="169">DATE(BW$5,9,1)</f>
        <v>47727</v>
      </c>
      <c r="CF9" s="14">
        <f t="shared" ref="CF9" si="170">DATE(BW$5,10,1)</f>
        <v>47757</v>
      </c>
      <c r="CG9" s="14">
        <f t="shared" ref="CG9" si="171">DATE(BW$5,11,1)</f>
        <v>47788</v>
      </c>
      <c r="CH9" s="14">
        <f t="shared" ref="CH9" si="172">DATE(BW$5,12,1)</f>
        <v>47818</v>
      </c>
      <c r="CI9" s="13">
        <f t="shared" ref="CI9" si="173">BW$5</f>
        <v>2030</v>
      </c>
      <c r="CK9" s="14">
        <f t="shared" ref="CK9" si="174">DATE(CK$5,1,1)</f>
        <v>47849</v>
      </c>
      <c r="CL9" s="14">
        <f t="shared" ref="CL9" si="175">DATE(CK$5,2,1)</f>
        <v>47880</v>
      </c>
      <c r="CM9" s="14">
        <f t="shared" ref="CM9" si="176">DATE(CK$5,3,1)</f>
        <v>47908</v>
      </c>
      <c r="CN9" s="14">
        <f t="shared" ref="CN9" si="177">DATE(CK$5,4,1)</f>
        <v>47939</v>
      </c>
      <c r="CO9" s="14">
        <f t="shared" ref="CO9" si="178">DATE(CK$5,5,1)</f>
        <v>47969</v>
      </c>
      <c r="CP9" s="14">
        <f t="shared" ref="CP9" si="179">DATE(CK$5,6,1)</f>
        <v>48000</v>
      </c>
      <c r="CQ9" s="14">
        <f t="shared" ref="CQ9" si="180">DATE(CK$5,7,1)</f>
        <v>48030</v>
      </c>
      <c r="CR9" s="14">
        <f t="shared" ref="CR9" si="181">DATE(CK$5,8,1)</f>
        <v>48061</v>
      </c>
      <c r="CS9" s="14">
        <f t="shared" ref="CS9" si="182">DATE(CK$5,9,1)</f>
        <v>48092</v>
      </c>
      <c r="CT9" s="14">
        <f t="shared" ref="CT9" si="183">DATE(CK$5,10,1)</f>
        <v>48122</v>
      </c>
      <c r="CU9" s="14">
        <f t="shared" ref="CU9" si="184">DATE(CK$5,11,1)</f>
        <v>48153</v>
      </c>
      <c r="CV9" s="14">
        <f t="shared" ref="CV9" si="185">DATE(CK$5,12,1)</f>
        <v>48183</v>
      </c>
      <c r="CW9" s="13">
        <f t="shared" ref="CW9" si="186">CK$5</f>
        <v>2031</v>
      </c>
      <c r="CY9" s="14">
        <f t="shared" ref="CY9" si="187">DATE(CY$5,1,1)</f>
        <v>48214</v>
      </c>
      <c r="CZ9" s="14">
        <f t="shared" ref="CZ9" si="188">DATE(CY$5,2,1)</f>
        <v>48245</v>
      </c>
      <c r="DA9" s="14">
        <f t="shared" ref="DA9" si="189">DATE(CY$5,3,1)</f>
        <v>48274</v>
      </c>
      <c r="DB9" s="14">
        <f t="shared" ref="DB9" si="190">DATE(CY$5,4,1)</f>
        <v>48305</v>
      </c>
      <c r="DC9" s="14">
        <f t="shared" ref="DC9" si="191">DATE(CY$5,5,1)</f>
        <v>48335</v>
      </c>
      <c r="DD9" s="14">
        <f t="shared" ref="DD9" si="192">DATE(CY$5,6,1)</f>
        <v>48366</v>
      </c>
      <c r="DE9" s="14">
        <f t="shared" ref="DE9" si="193">DATE(CY$5,7,1)</f>
        <v>48396</v>
      </c>
      <c r="DF9" s="14">
        <f t="shared" ref="DF9" si="194">DATE(CY$5,8,1)</f>
        <v>48427</v>
      </c>
      <c r="DG9" s="14">
        <f t="shared" ref="DG9" si="195">DATE(CY$5,9,1)</f>
        <v>48458</v>
      </c>
      <c r="DH9" s="14">
        <f t="shared" ref="DH9" si="196">DATE(CY$5,10,1)</f>
        <v>48488</v>
      </c>
      <c r="DI9" s="14">
        <f t="shared" ref="DI9" si="197">DATE(CY$5,11,1)</f>
        <v>48519</v>
      </c>
      <c r="DJ9" s="14">
        <f t="shared" ref="DJ9" si="198">DATE(CY$5,12,1)</f>
        <v>48549</v>
      </c>
      <c r="DK9" s="13">
        <f t="shared" ref="DK9" si="199">CY$5</f>
        <v>2032</v>
      </c>
      <c r="DM9" s="14">
        <f t="shared" ref="DM9" si="200">DATE(DM$5,1,1)</f>
        <v>48580</v>
      </c>
      <c r="DN9" s="14">
        <f t="shared" ref="DN9" si="201">DATE(DM$5,2,1)</f>
        <v>48611</v>
      </c>
      <c r="DO9" s="14">
        <f t="shared" ref="DO9" si="202">DATE(DM$5,3,1)</f>
        <v>48639</v>
      </c>
      <c r="DP9" s="14">
        <f t="shared" ref="DP9" si="203">DATE(DM$5,4,1)</f>
        <v>48670</v>
      </c>
      <c r="DQ9" s="14">
        <f t="shared" ref="DQ9" si="204">DATE(DM$5,5,1)</f>
        <v>48700</v>
      </c>
      <c r="DR9" s="14">
        <f t="shared" ref="DR9" si="205">DATE(DM$5,6,1)</f>
        <v>48731</v>
      </c>
      <c r="DS9" s="14">
        <f t="shared" ref="DS9" si="206">DATE(DM$5,7,1)</f>
        <v>48761</v>
      </c>
      <c r="DT9" s="14">
        <f t="shared" ref="DT9" si="207">DATE(DM$5,8,1)</f>
        <v>48792</v>
      </c>
      <c r="DU9" s="14">
        <f t="shared" ref="DU9" si="208">DATE(DM$5,9,1)</f>
        <v>48823</v>
      </c>
      <c r="DV9" s="14">
        <f t="shared" ref="DV9" si="209">DATE(DM$5,10,1)</f>
        <v>48853</v>
      </c>
      <c r="DW9" s="14">
        <f t="shared" ref="DW9" si="210">DATE(DM$5,11,1)</f>
        <v>48884</v>
      </c>
      <c r="DX9" s="14">
        <f t="shared" ref="DX9" si="211">DATE(DM$5,12,1)</f>
        <v>48914</v>
      </c>
      <c r="DY9" s="13">
        <f t="shared" ref="DY9" si="212">DM$5</f>
        <v>2033</v>
      </c>
      <c r="EA9" s="14">
        <f t="shared" ref="EA9" si="213">DATE(EA$5,1,1)</f>
        <v>48945</v>
      </c>
      <c r="EB9" s="14">
        <f t="shared" ref="EB9" si="214">DATE(EA$5,2,1)</f>
        <v>48976</v>
      </c>
      <c r="EC9" s="14">
        <f t="shared" ref="EC9" si="215">DATE(EA$5,3,1)</f>
        <v>49004</v>
      </c>
      <c r="ED9" s="14">
        <f t="shared" ref="ED9" si="216">DATE(EA$5,4,1)</f>
        <v>49035</v>
      </c>
      <c r="EE9" s="14">
        <f t="shared" ref="EE9" si="217">DATE(EA$5,5,1)</f>
        <v>49065</v>
      </c>
      <c r="EF9" s="14">
        <f t="shared" ref="EF9" si="218">DATE(EA$5,6,1)</f>
        <v>49096</v>
      </c>
      <c r="EG9" s="14">
        <f t="shared" ref="EG9" si="219">DATE(EA$5,7,1)</f>
        <v>49126</v>
      </c>
      <c r="EH9" s="14">
        <f t="shared" ref="EH9" si="220">DATE(EA$5,8,1)</f>
        <v>49157</v>
      </c>
      <c r="EI9" s="14">
        <f t="shared" ref="EI9" si="221">DATE(EA$5,9,1)</f>
        <v>49188</v>
      </c>
      <c r="EJ9" s="14">
        <f t="shared" ref="EJ9" si="222">DATE(EA$5,10,1)</f>
        <v>49218</v>
      </c>
      <c r="EK9" s="14">
        <f t="shared" ref="EK9" si="223">DATE(EA$5,11,1)</f>
        <v>49249</v>
      </c>
      <c r="EL9" s="14">
        <f t="shared" ref="EL9" si="224">DATE(EA$5,12,1)</f>
        <v>49279</v>
      </c>
      <c r="EM9" s="13">
        <f t="shared" ref="EM9" si="225">EA$5</f>
        <v>2034</v>
      </c>
    </row>
    <row r="10" spans="3:143" ht="15" customHeight="1" x14ac:dyDescent="0.3">
      <c r="C10" s="15" t="s">
        <v>7</v>
      </c>
      <c r="E10" s="16">
        <v>3500</v>
      </c>
      <c r="F10" s="16">
        <v>3500</v>
      </c>
      <c r="G10" s="16">
        <v>3500</v>
      </c>
      <c r="H10" s="16">
        <v>4500</v>
      </c>
      <c r="I10" s="16">
        <v>4500</v>
      </c>
      <c r="J10" s="16">
        <v>4500</v>
      </c>
      <c r="K10" s="16">
        <v>4500</v>
      </c>
      <c r="L10" s="16">
        <v>4500</v>
      </c>
      <c r="M10" s="16">
        <v>4500</v>
      </c>
      <c r="N10" s="16">
        <v>4500</v>
      </c>
      <c r="O10" s="16">
        <v>4500</v>
      </c>
      <c r="P10" s="16">
        <v>4500</v>
      </c>
      <c r="Q10" s="17">
        <f>SUM(E10:P10)</f>
        <v>51000</v>
      </c>
      <c r="S10" s="16"/>
      <c r="T10" s="16"/>
      <c r="U10" s="16"/>
      <c r="V10" s="16"/>
      <c r="W10" s="16"/>
      <c r="X10" s="16"/>
      <c r="Y10" s="16"/>
      <c r="Z10" s="16"/>
      <c r="AA10" s="16"/>
      <c r="AB10" s="16"/>
      <c r="AC10" s="16"/>
      <c r="AD10" s="16"/>
      <c r="AE10" s="17">
        <f>SUM(S10:AD10)</f>
        <v>0</v>
      </c>
      <c r="AG10" s="16"/>
      <c r="AH10" s="16"/>
      <c r="AI10" s="16"/>
      <c r="AJ10" s="16"/>
      <c r="AK10" s="16"/>
      <c r="AL10" s="16"/>
      <c r="AM10" s="16"/>
      <c r="AN10" s="16"/>
      <c r="AO10" s="16"/>
      <c r="AP10" s="16"/>
      <c r="AQ10" s="16"/>
      <c r="AR10" s="16"/>
      <c r="AS10" s="17">
        <f t="shared" ref="AS10:AS19" si="226">SUM(AG10:AR10)</f>
        <v>0</v>
      </c>
      <c r="AU10" s="16"/>
      <c r="AV10" s="16"/>
      <c r="AW10" s="16"/>
      <c r="AX10" s="16"/>
      <c r="AY10" s="16"/>
      <c r="AZ10" s="16"/>
      <c r="BA10" s="16"/>
      <c r="BB10" s="16"/>
      <c r="BC10" s="16"/>
      <c r="BD10" s="16"/>
      <c r="BE10" s="16"/>
      <c r="BF10" s="16"/>
      <c r="BG10" s="17">
        <f t="shared" ref="BG10:BG19" si="227">SUM(AU10:BF10)</f>
        <v>0</v>
      </c>
      <c r="BI10" s="16"/>
      <c r="BJ10" s="16"/>
      <c r="BK10" s="16"/>
      <c r="BL10" s="16"/>
      <c r="BM10" s="16"/>
      <c r="BN10" s="16"/>
      <c r="BO10" s="16"/>
      <c r="BP10" s="16"/>
      <c r="BQ10" s="16"/>
      <c r="BR10" s="16"/>
      <c r="BS10" s="16"/>
      <c r="BT10" s="16"/>
      <c r="BU10" s="17">
        <f t="shared" ref="BU10:BU19" si="228">SUM(BI10:BT10)</f>
        <v>0</v>
      </c>
      <c r="BW10" s="16"/>
      <c r="BX10" s="16"/>
      <c r="BY10" s="16"/>
      <c r="BZ10" s="16"/>
      <c r="CA10" s="16"/>
      <c r="CB10" s="16"/>
      <c r="CC10" s="16"/>
      <c r="CD10" s="16"/>
      <c r="CE10" s="16"/>
      <c r="CF10" s="16"/>
      <c r="CG10" s="16"/>
      <c r="CH10" s="16"/>
      <c r="CI10" s="17">
        <f t="shared" ref="CI10:CI19" si="229">SUM(BW10:CH10)</f>
        <v>0</v>
      </c>
      <c r="CK10" s="16"/>
      <c r="CL10" s="16"/>
      <c r="CM10" s="16"/>
      <c r="CN10" s="16"/>
      <c r="CO10" s="16"/>
      <c r="CP10" s="16"/>
      <c r="CQ10" s="16"/>
      <c r="CR10" s="16"/>
      <c r="CS10" s="16"/>
      <c r="CT10" s="16"/>
      <c r="CU10" s="16"/>
      <c r="CV10" s="16"/>
      <c r="CW10" s="17">
        <f t="shared" ref="CW10:CW19" si="230">SUM(CK10:CV10)</f>
        <v>0</v>
      </c>
      <c r="CY10" s="16"/>
      <c r="CZ10" s="16"/>
      <c r="DA10" s="16"/>
      <c r="DB10" s="16"/>
      <c r="DC10" s="16"/>
      <c r="DD10" s="16"/>
      <c r="DE10" s="16"/>
      <c r="DF10" s="16"/>
      <c r="DG10" s="16"/>
      <c r="DH10" s="16"/>
      <c r="DI10" s="16"/>
      <c r="DJ10" s="16"/>
      <c r="DK10" s="17">
        <f t="shared" ref="DK10:DK19" si="231">SUM(CY10:DJ10)</f>
        <v>0</v>
      </c>
      <c r="DM10" s="16"/>
      <c r="DN10" s="16"/>
      <c r="DO10" s="16"/>
      <c r="DP10" s="16"/>
      <c r="DQ10" s="16"/>
      <c r="DR10" s="16"/>
      <c r="DS10" s="16"/>
      <c r="DT10" s="16"/>
      <c r="DU10" s="16"/>
      <c r="DV10" s="16"/>
      <c r="DW10" s="16"/>
      <c r="DX10" s="16"/>
      <c r="DY10" s="17">
        <f t="shared" ref="DY10:DY19" si="232">SUM(DM10:DX10)</f>
        <v>0</v>
      </c>
      <c r="EA10" s="16"/>
      <c r="EB10" s="16"/>
      <c r="EC10" s="16"/>
      <c r="ED10" s="16"/>
      <c r="EE10" s="16"/>
      <c r="EF10" s="16"/>
      <c r="EG10" s="16"/>
      <c r="EH10" s="16"/>
      <c r="EI10" s="16"/>
      <c r="EJ10" s="16"/>
      <c r="EK10" s="16"/>
      <c r="EL10" s="16"/>
      <c r="EM10" s="17">
        <f t="shared" ref="EM10:EM19" si="233">SUM(EA10:EL10)</f>
        <v>0</v>
      </c>
    </row>
    <row r="11" spans="3:143" ht="15" customHeight="1" x14ac:dyDescent="0.3">
      <c r="C11" s="15" t="s">
        <v>8</v>
      </c>
      <c r="E11" s="16">
        <v>1000</v>
      </c>
      <c r="F11" s="16">
        <v>1000</v>
      </c>
      <c r="G11" s="16">
        <v>1000</v>
      </c>
      <c r="H11" s="16">
        <v>1000</v>
      </c>
      <c r="I11" s="16">
        <v>1000</v>
      </c>
      <c r="J11" s="16">
        <v>1000</v>
      </c>
      <c r="K11" s="16">
        <v>1000</v>
      </c>
      <c r="L11" s="16">
        <v>1000</v>
      </c>
      <c r="M11" s="16">
        <v>1000</v>
      </c>
      <c r="N11" s="16">
        <v>1000</v>
      </c>
      <c r="O11" s="16">
        <v>1000</v>
      </c>
      <c r="P11" s="16">
        <v>1000</v>
      </c>
      <c r="Q11" s="17">
        <f t="shared" ref="Q11:Q18" si="234">SUM(E11:P11)</f>
        <v>12000</v>
      </c>
      <c r="S11" s="16"/>
      <c r="T11" s="16"/>
      <c r="U11" s="16"/>
      <c r="V11" s="16"/>
      <c r="W11" s="16"/>
      <c r="X11" s="16"/>
      <c r="Y11" s="16"/>
      <c r="Z11" s="16"/>
      <c r="AA11" s="16"/>
      <c r="AB11" s="16"/>
      <c r="AC11" s="16"/>
      <c r="AD11" s="16"/>
      <c r="AE11" s="17">
        <f t="shared" ref="AE11:AE13" si="235">SUM(S11:AD11)</f>
        <v>0</v>
      </c>
      <c r="AG11" s="16"/>
      <c r="AH11" s="16"/>
      <c r="AI11" s="16"/>
      <c r="AJ11" s="16"/>
      <c r="AK11" s="16"/>
      <c r="AL11" s="16"/>
      <c r="AM11" s="16"/>
      <c r="AN11" s="16"/>
      <c r="AO11" s="16"/>
      <c r="AP11" s="16"/>
      <c r="AQ11" s="16"/>
      <c r="AR11" s="16"/>
      <c r="AS11" s="17">
        <f t="shared" si="226"/>
        <v>0</v>
      </c>
      <c r="AU11" s="16"/>
      <c r="AV11" s="16"/>
      <c r="AW11" s="16"/>
      <c r="AX11" s="16"/>
      <c r="AY11" s="16"/>
      <c r="AZ11" s="16"/>
      <c r="BA11" s="16"/>
      <c r="BB11" s="16"/>
      <c r="BC11" s="16"/>
      <c r="BD11" s="16"/>
      <c r="BE11" s="16"/>
      <c r="BF11" s="16"/>
      <c r="BG11" s="17">
        <f t="shared" si="227"/>
        <v>0</v>
      </c>
      <c r="BI11" s="16"/>
      <c r="BJ11" s="16"/>
      <c r="BK11" s="16"/>
      <c r="BL11" s="16"/>
      <c r="BM11" s="16"/>
      <c r="BN11" s="16"/>
      <c r="BO11" s="16"/>
      <c r="BP11" s="16"/>
      <c r="BQ11" s="16"/>
      <c r="BR11" s="16"/>
      <c r="BS11" s="16"/>
      <c r="BT11" s="16"/>
      <c r="BU11" s="17">
        <f t="shared" si="228"/>
        <v>0</v>
      </c>
      <c r="BW11" s="16"/>
      <c r="BX11" s="16"/>
      <c r="BY11" s="16"/>
      <c r="BZ11" s="16"/>
      <c r="CA11" s="16"/>
      <c r="CB11" s="16"/>
      <c r="CC11" s="16"/>
      <c r="CD11" s="16"/>
      <c r="CE11" s="16"/>
      <c r="CF11" s="16"/>
      <c r="CG11" s="16"/>
      <c r="CH11" s="16"/>
      <c r="CI11" s="17">
        <f t="shared" si="229"/>
        <v>0</v>
      </c>
      <c r="CK11" s="16"/>
      <c r="CL11" s="16"/>
      <c r="CM11" s="16"/>
      <c r="CN11" s="16"/>
      <c r="CO11" s="16"/>
      <c r="CP11" s="16"/>
      <c r="CQ11" s="16"/>
      <c r="CR11" s="16"/>
      <c r="CS11" s="16"/>
      <c r="CT11" s="16"/>
      <c r="CU11" s="16"/>
      <c r="CV11" s="16"/>
      <c r="CW11" s="17">
        <f t="shared" si="230"/>
        <v>0</v>
      </c>
      <c r="CY11" s="16"/>
      <c r="CZ11" s="16"/>
      <c r="DA11" s="16"/>
      <c r="DB11" s="16"/>
      <c r="DC11" s="16"/>
      <c r="DD11" s="16"/>
      <c r="DE11" s="16"/>
      <c r="DF11" s="16"/>
      <c r="DG11" s="16"/>
      <c r="DH11" s="16"/>
      <c r="DI11" s="16"/>
      <c r="DJ11" s="16"/>
      <c r="DK11" s="17">
        <f t="shared" si="231"/>
        <v>0</v>
      </c>
      <c r="DM11" s="16"/>
      <c r="DN11" s="16"/>
      <c r="DO11" s="16"/>
      <c r="DP11" s="16"/>
      <c r="DQ11" s="16"/>
      <c r="DR11" s="16"/>
      <c r="DS11" s="16"/>
      <c r="DT11" s="16"/>
      <c r="DU11" s="16"/>
      <c r="DV11" s="16"/>
      <c r="DW11" s="16"/>
      <c r="DX11" s="16"/>
      <c r="DY11" s="17">
        <f t="shared" si="232"/>
        <v>0</v>
      </c>
      <c r="EA11" s="16"/>
      <c r="EB11" s="16"/>
      <c r="EC11" s="16"/>
      <c r="ED11" s="16"/>
      <c r="EE11" s="16"/>
      <c r="EF11" s="16"/>
      <c r="EG11" s="16"/>
      <c r="EH11" s="16"/>
      <c r="EI11" s="16"/>
      <c r="EJ11" s="16"/>
      <c r="EK11" s="16"/>
      <c r="EL11" s="16"/>
      <c r="EM11" s="17">
        <f t="shared" si="233"/>
        <v>0</v>
      </c>
    </row>
    <row r="12" spans="3:143" ht="15" customHeight="1" x14ac:dyDescent="0.3">
      <c r="C12" s="15" t="s">
        <v>9</v>
      </c>
      <c r="E12" s="16">
        <v>150</v>
      </c>
      <c r="F12" s="16">
        <v>50</v>
      </c>
      <c r="G12" s="16">
        <v>100</v>
      </c>
      <c r="H12" s="16">
        <v>150</v>
      </c>
      <c r="I12" s="16">
        <v>50</v>
      </c>
      <c r="J12" s="16">
        <v>100</v>
      </c>
      <c r="K12" s="16">
        <v>150</v>
      </c>
      <c r="L12" s="16">
        <v>50</v>
      </c>
      <c r="M12" s="16">
        <v>100</v>
      </c>
      <c r="N12" s="16">
        <v>150</v>
      </c>
      <c r="O12" s="16">
        <v>50</v>
      </c>
      <c r="P12" s="16">
        <v>100</v>
      </c>
      <c r="Q12" s="17">
        <f t="shared" si="234"/>
        <v>1200</v>
      </c>
      <c r="S12" s="16"/>
      <c r="T12" s="16"/>
      <c r="U12" s="16"/>
      <c r="V12" s="16"/>
      <c r="W12" s="16"/>
      <c r="X12" s="16"/>
      <c r="Y12" s="16"/>
      <c r="Z12" s="16"/>
      <c r="AA12" s="16"/>
      <c r="AB12" s="16"/>
      <c r="AC12" s="16"/>
      <c r="AD12" s="16"/>
      <c r="AE12" s="17">
        <f t="shared" si="235"/>
        <v>0</v>
      </c>
      <c r="AG12" s="16"/>
      <c r="AH12" s="16"/>
      <c r="AI12" s="16"/>
      <c r="AJ12" s="16"/>
      <c r="AK12" s="16"/>
      <c r="AL12" s="16"/>
      <c r="AM12" s="16"/>
      <c r="AN12" s="16"/>
      <c r="AO12" s="16"/>
      <c r="AP12" s="16"/>
      <c r="AQ12" s="16"/>
      <c r="AR12" s="16"/>
      <c r="AS12" s="17">
        <f t="shared" si="226"/>
        <v>0</v>
      </c>
      <c r="AU12" s="16"/>
      <c r="AV12" s="16"/>
      <c r="AW12" s="16"/>
      <c r="AX12" s="16"/>
      <c r="AY12" s="16"/>
      <c r="AZ12" s="16"/>
      <c r="BA12" s="16"/>
      <c r="BB12" s="16"/>
      <c r="BC12" s="16"/>
      <c r="BD12" s="16"/>
      <c r="BE12" s="16"/>
      <c r="BF12" s="16"/>
      <c r="BG12" s="17">
        <f t="shared" si="227"/>
        <v>0</v>
      </c>
      <c r="BI12" s="16"/>
      <c r="BJ12" s="16"/>
      <c r="BK12" s="16"/>
      <c r="BL12" s="16"/>
      <c r="BM12" s="16"/>
      <c r="BN12" s="16"/>
      <c r="BO12" s="16"/>
      <c r="BP12" s="16"/>
      <c r="BQ12" s="16"/>
      <c r="BR12" s="16"/>
      <c r="BS12" s="16"/>
      <c r="BT12" s="16"/>
      <c r="BU12" s="17">
        <f t="shared" si="228"/>
        <v>0</v>
      </c>
      <c r="BW12" s="16"/>
      <c r="BX12" s="16"/>
      <c r="BY12" s="16"/>
      <c r="BZ12" s="16"/>
      <c r="CA12" s="16"/>
      <c r="CB12" s="16"/>
      <c r="CC12" s="16"/>
      <c r="CD12" s="16"/>
      <c r="CE12" s="16"/>
      <c r="CF12" s="16"/>
      <c r="CG12" s="16"/>
      <c r="CH12" s="16"/>
      <c r="CI12" s="17">
        <f t="shared" si="229"/>
        <v>0</v>
      </c>
      <c r="CK12" s="16"/>
      <c r="CL12" s="16"/>
      <c r="CM12" s="16"/>
      <c r="CN12" s="16"/>
      <c r="CO12" s="16"/>
      <c r="CP12" s="16"/>
      <c r="CQ12" s="16"/>
      <c r="CR12" s="16"/>
      <c r="CS12" s="16"/>
      <c r="CT12" s="16"/>
      <c r="CU12" s="16"/>
      <c r="CV12" s="16"/>
      <c r="CW12" s="17">
        <f t="shared" si="230"/>
        <v>0</v>
      </c>
      <c r="CY12" s="16"/>
      <c r="CZ12" s="16"/>
      <c r="DA12" s="16"/>
      <c r="DB12" s="16"/>
      <c r="DC12" s="16"/>
      <c r="DD12" s="16"/>
      <c r="DE12" s="16"/>
      <c r="DF12" s="16"/>
      <c r="DG12" s="16"/>
      <c r="DH12" s="16"/>
      <c r="DI12" s="16"/>
      <c r="DJ12" s="16"/>
      <c r="DK12" s="17">
        <f t="shared" si="231"/>
        <v>0</v>
      </c>
      <c r="DM12" s="16"/>
      <c r="DN12" s="16"/>
      <c r="DO12" s="16"/>
      <c r="DP12" s="16"/>
      <c r="DQ12" s="16"/>
      <c r="DR12" s="16"/>
      <c r="DS12" s="16"/>
      <c r="DT12" s="16"/>
      <c r="DU12" s="16"/>
      <c r="DV12" s="16"/>
      <c r="DW12" s="16"/>
      <c r="DX12" s="16"/>
      <c r="DY12" s="17">
        <f t="shared" si="232"/>
        <v>0</v>
      </c>
      <c r="EA12" s="16"/>
      <c r="EB12" s="16"/>
      <c r="EC12" s="16"/>
      <c r="ED12" s="16"/>
      <c r="EE12" s="16"/>
      <c r="EF12" s="16"/>
      <c r="EG12" s="16"/>
      <c r="EH12" s="16"/>
      <c r="EI12" s="16"/>
      <c r="EJ12" s="16"/>
      <c r="EK12" s="16"/>
      <c r="EL12" s="16"/>
      <c r="EM12" s="17">
        <f t="shared" si="233"/>
        <v>0</v>
      </c>
    </row>
    <row r="13" spans="3:143" ht="15" hidden="1" customHeight="1" x14ac:dyDescent="0.3">
      <c r="C13" s="15" t="s">
        <v>5</v>
      </c>
      <c r="E13" s="16"/>
      <c r="F13" s="16"/>
      <c r="G13" s="16"/>
      <c r="H13" s="16"/>
      <c r="I13" s="16"/>
      <c r="J13" s="16"/>
      <c r="K13" s="16"/>
      <c r="L13" s="16"/>
      <c r="M13" s="16"/>
      <c r="N13" s="16"/>
      <c r="O13" s="16"/>
      <c r="P13" s="16"/>
      <c r="Q13" s="17">
        <f t="shared" si="234"/>
        <v>0</v>
      </c>
      <c r="S13" s="16"/>
      <c r="T13" s="16"/>
      <c r="U13" s="16"/>
      <c r="V13" s="16"/>
      <c r="W13" s="16"/>
      <c r="X13" s="16"/>
      <c r="Y13" s="16"/>
      <c r="Z13" s="16"/>
      <c r="AA13" s="16"/>
      <c r="AB13" s="16"/>
      <c r="AC13" s="16"/>
      <c r="AD13" s="16"/>
      <c r="AE13" s="17">
        <f t="shared" si="235"/>
        <v>0</v>
      </c>
      <c r="AG13" s="16"/>
      <c r="AH13" s="16"/>
      <c r="AI13" s="16"/>
      <c r="AJ13" s="16"/>
      <c r="AK13" s="16"/>
      <c r="AL13" s="16"/>
      <c r="AM13" s="16"/>
      <c r="AN13" s="16"/>
      <c r="AO13" s="16"/>
      <c r="AP13" s="16"/>
      <c r="AQ13" s="16"/>
      <c r="AR13" s="16"/>
      <c r="AS13" s="17">
        <f t="shared" si="226"/>
        <v>0</v>
      </c>
      <c r="AU13" s="16"/>
      <c r="AV13" s="16"/>
      <c r="AW13" s="16"/>
      <c r="AX13" s="16"/>
      <c r="AY13" s="16"/>
      <c r="AZ13" s="16"/>
      <c r="BA13" s="16"/>
      <c r="BB13" s="16"/>
      <c r="BC13" s="16"/>
      <c r="BD13" s="16"/>
      <c r="BE13" s="16"/>
      <c r="BF13" s="16"/>
      <c r="BG13" s="17">
        <f t="shared" si="227"/>
        <v>0</v>
      </c>
      <c r="BI13" s="16"/>
      <c r="BJ13" s="16"/>
      <c r="BK13" s="16"/>
      <c r="BL13" s="16"/>
      <c r="BM13" s="16"/>
      <c r="BN13" s="16"/>
      <c r="BO13" s="16"/>
      <c r="BP13" s="16"/>
      <c r="BQ13" s="16"/>
      <c r="BR13" s="16"/>
      <c r="BS13" s="16"/>
      <c r="BT13" s="16"/>
      <c r="BU13" s="17">
        <f t="shared" si="228"/>
        <v>0</v>
      </c>
      <c r="BW13" s="16"/>
      <c r="BX13" s="16"/>
      <c r="BY13" s="16"/>
      <c r="BZ13" s="16"/>
      <c r="CA13" s="16"/>
      <c r="CB13" s="16"/>
      <c r="CC13" s="16"/>
      <c r="CD13" s="16"/>
      <c r="CE13" s="16"/>
      <c r="CF13" s="16"/>
      <c r="CG13" s="16"/>
      <c r="CH13" s="16"/>
      <c r="CI13" s="17">
        <f t="shared" si="229"/>
        <v>0</v>
      </c>
      <c r="CK13" s="16"/>
      <c r="CL13" s="16"/>
      <c r="CM13" s="16"/>
      <c r="CN13" s="16"/>
      <c r="CO13" s="16"/>
      <c r="CP13" s="16"/>
      <c r="CQ13" s="16"/>
      <c r="CR13" s="16"/>
      <c r="CS13" s="16"/>
      <c r="CT13" s="16"/>
      <c r="CU13" s="16"/>
      <c r="CV13" s="16"/>
      <c r="CW13" s="17">
        <f t="shared" si="230"/>
        <v>0</v>
      </c>
      <c r="CY13" s="16"/>
      <c r="CZ13" s="16"/>
      <c r="DA13" s="16"/>
      <c r="DB13" s="16"/>
      <c r="DC13" s="16"/>
      <c r="DD13" s="16"/>
      <c r="DE13" s="16"/>
      <c r="DF13" s="16"/>
      <c r="DG13" s="16"/>
      <c r="DH13" s="16"/>
      <c r="DI13" s="16"/>
      <c r="DJ13" s="16"/>
      <c r="DK13" s="17">
        <f t="shared" si="231"/>
        <v>0</v>
      </c>
      <c r="DM13" s="16"/>
      <c r="DN13" s="16"/>
      <c r="DO13" s="16"/>
      <c r="DP13" s="16"/>
      <c r="DQ13" s="16"/>
      <c r="DR13" s="16"/>
      <c r="DS13" s="16"/>
      <c r="DT13" s="16"/>
      <c r="DU13" s="16"/>
      <c r="DV13" s="16"/>
      <c r="DW13" s="16"/>
      <c r="DX13" s="16"/>
      <c r="DY13" s="17">
        <f t="shared" si="232"/>
        <v>0</v>
      </c>
      <c r="EA13" s="16"/>
      <c r="EB13" s="16"/>
      <c r="EC13" s="16"/>
      <c r="ED13" s="16"/>
      <c r="EE13" s="16"/>
      <c r="EF13" s="16"/>
      <c r="EG13" s="16"/>
      <c r="EH13" s="16"/>
      <c r="EI13" s="16"/>
      <c r="EJ13" s="16"/>
      <c r="EK13" s="16"/>
      <c r="EL13" s="16"/>
      <c r="EM13" s="17">
        <f t="shared" si="233"/>
        <v>0</v>
      </c>
    </row>
    <row r="14" spans="3:143" ht="15" hidden="1" customHeight="1" x14ac:dyDescent="0.3">
      <c r="C14" s="15" t="s">
        <v>5</v>
      </c>
      <c r="E14" s="16"/>
      <c r="F14" s="16"/>
      <c r="G14" s="16"/>
      <c r="H14" s="16"/>
      <c r="I14" s="16"/>
      <c r="J14" s="16"/>
      <c r="K14" s="16"/>
      <c r="L14" s="16"/>
      <c r="M14" s="16"/>
      <c r="N14" s="16"/>
      <c r="O14" s="16"/>
      <c r="P14" s="16"/>
      <c r="Q14" s="17">
        <f>SUM(E14:P14)</f>
        <v>0</v>
      </c>
      <c r="S14" s="16"/>
      <c r="T14" s="16"/>
      <c r="U14" s="16"/>
      <c r="V14" s="16"/>
      <c r="W14" s="16"/>
      <c r="X14" s="16"/>
      <c r="Y14" s="16"/>
      <c r="Z14" s="16"/>
      <c r="AA14" s="16"/>
      <c r="AB14" s="16"/>
      <c r="AC14" s="16"/>
      <c r="AD14" s="16"/>
      <c r="AE14" s="17">
        <f>SUM(S14:AD14)</f>
        <v>0</v>
      </c>
      <c r="AG14" s="16"/>
      <c r="AH14" s="16"/>
      <c r="AI14" s="16"/>
      <c r="AJ14" s="16"/>
      <c r="AK14" s="16"/>
      <c r="AL14" s="16"/>
      <c r="AM14" s="16"/>
      <c r="AN14" s="16"/>
      <c r="AO14" s="16"/>
      <c r="AP14" s="16"/>
      <c r="AQ14" s="16"/>
      <c r="AR14" s="16"/>
      <c r="AS14" s="17">
        <f t="shared" si="226"/>
        <v>0</v>
      </c>
      <c r="AU14" s="16"/>
      <c r="AV14" s="16"/>
      <c r="AW14" s="16"/>
      <c r="AX14" s="16"/>
      <c r="AY14" s="16"/>
      <c r="AZ14" s="16"/>
      <c r="BA14" s="16"/>
      <c r="BB14" s="16"/>
      <c r="BC14" s="16"/>
      <c r="BD14" s="16"/>
      <c r="BE14" s="16"/>
      <c r="BF14" s="16"/>
      <c r="BG14" s="17">
        <f t="shared" si="227"/>
        <v>0</v>
      </c>
      <c r="BI14" s="16"/>
      <c r="BJ14" s="16"/>
      <c r="BK14" s="16"/>
      <c r="BL14" s="16"/>
      <c r="BM14" s="16"/>
      <c r="BN14" s="16"/>
      <c r="BO14" s="16"/>
      <c r="BP14" s="16"/>
      <c r="BQ14" s="16"/>
      <c r="BR14" s="16"/>
      <c r="BS14" s="16"/>
      <c r="BT14" s="16"/>
      <c r="BU14" s="17">
        <f t="shared" si="228"/>
        <v>0</v>
      </c>
      <c r="BW14" s="16"/>
      <c r="BX14" s="16"/>
      <c r="BY14" s="16"/>
      <c r="BZ14" s="16"/>
      <c r="CA14" s="16"/>
      <c r="CB14" s="16"/>
      <c r="CC14" s="16"/>
      <c r="CD14" s="16"/>
      <c r="CE14" s="16"/>
      <c r="CF14" s="16"/>
      <c r="CG14" s="16"/>
      <c r="CH14" s="16"/>
      <c r="CI14" s="17">
        <f t="shared" si="229"/>
        <v>0</v>
      </c>
      <c r="CK14" s="16"/>
      <c r="CL14" s="16"/>
      <c r="CM14" s="16"/>
      <c r="CN14" s="16"/>
      <c r="CO14" s="16"/>
      <c r="CP14" s="16"/>
      <c r="CQ14" s="16"/>
      <c r="CR14" s="16"/>
      <c r="CS14" s="16"/>
      <c r="CT14" s="16"/>
      <c r="CU14" s="16"/>
      <c r="CV14" s="16"/>
      <c r="CW14" s="17">
        <f t="shared" si="230"/>
        <v>0</v>
      </c>
      <c r="CY14" s="16"/>
      <c r="CZ14" s="16"/>
      <c r="DA14" s="16"/>
      <c r="DB14" s="16"/>
      <c r="DC14" s="16"/>
      <c r="DD14" s="16"/>
      <c r="DE14" s="16"/>
      <c r="DF14" s="16"/>
      <c r="DG14" s="16"/>
      <c r="DH14" s="16"/>
      <c r="DI14" s="16"/>
      <c r="DJ14" s="16"/>
      <c r="DK14" s="17">
        <f t="shared" si="231"/>
        <v>0</v>
      </c>
      <c r="DM14" s="16"/>
      <c r="DN14" s="16"/>
      <c r="DO14" s="16"/>
      <c r="DP14" s="16"/>
      <c r="DQ14" s="16"/>
      <c r="DR14" s="16"/>
      <c r="DS14" s="16"/>
      <c r="DT14" s="16"/>
      <c r="DU14" s="16"/>
      <c r="DV14" s="16"/>
      <c r="DW14" s="16"/>
      <c r="DX14" s="16"/>
      <c r="DY14" s="17">
        <f t="shared" si="232"/>
        <v>0</v>
      </c>
      <c r="EA14" s="16"/>
      <c r="EB14" s="16"/>
      <c r="EC14" s="16"/>
      <c r="ED14" s="16"/>
      <c r="EE14" s="16"/>
      <c r="EF14" s="16"/>
      <c r="EG14" s="16"/>
      <c r="EH14" s="16"/>
      <c r="EI14" s="16"/>
      <c r="EJ14" s="16"/>
      <c r="EK14" s="16"/>
      <c r="EL14" s="16"/>
      <c r="EM14" s="17">
        <f t="shared" si="233"/>
        <v>0</v>
      </c>
    </row>
    <row r="15" spans="3:143" ht="15" hidden="1" customHeight="1" x14ac:dyDescent="0.3">
      <c r="C15" s="15" t="s">
        <v>5</v>
      </c>
      <c r="E15" s="16"/>
      <c r="F15" s="16"/>
      <c r="G15" s="16"/>
      <c r="H15" s="16"/>
      <c r="I15" s="16"/>
      <c r="J15" s="16"/>
      <c r="K15" s="16"/>
      <c r="L15" s="16"/>
      <c r="M15" s="16"/>
      <c r="N15" s="16"/>
      <c r="O15" s="16"/>
      <c r="P15" s="16"/>
      <c r="Q15" s="17">
        <f>SUM(E15:P15)</f>
        <v>0</v>
      </c>
      <c r="S15" s="16"/>
      <c r="T15" s="16"/>
      <c r="U15" s="16"/>
      <c r="V15" s="16"/>
      <c r="W15" s="16"/>
      <c r="X15" s="16"/>
      <c r="Y15" s="16"/>
      <c r="Z15" s="16"/>
      <c r="AA15" s="16"/>
      <c r="AB15" s="16"/>
      <c r="AC15" s="16"/>
      <c r="AD15" s="16"/>
      <c r="AE15" s="17">
        <f>SUM(S15:AD15)</f>
        <v>0</v>
      </c>
      <c r="AG15" s="16"/>
      <c r="AH15" s="16"/>
      <c r="AI15" s="16"/>
      <c r="AJ15" s="16"/>
      <c r="AK15" s="16"/>
      <c r="AL15" s="16"/>
      <c r="AM15" s="16"/>
      <c r="AN15" s="16"/>
      <c r="AO15" s="16"/>
      <c r="AP15" s="16"/>
      <c r="AQ15" s="16"/>
      <c r="AR15" s="16"/>
      <c r="AS15" s="17">
        <f t="shared" si="226"/>
        <v>0</v>
      </c>
      <c r="AU15" s="16"/>
      <c r="AV15" s="16"/>
      <c r="AW15" s="16"/>
      <c r="AX15" s="16"/>
      <c r="AY15" s="16"/>
      <c r="AZ15" s="16"/>
      <c r="BA15" s="16"/>
      <c r="BB15" s="16"/>
      <c r="BC15" s="16"/>
      <c r="BD15" s="16"/>
      <c r="BE15" s="16"/>
      <c r="BF15" s="16"/>
      <c r="BG15" s="17">
        <f t="shared" si="227"/>
        <v>0</v>
      </c>
      <c r="BI15" s="16"/>
      <c r="BJ15" s="16"/>
      <c r="BK15" s="16"/>
      <c r="BL15" s="16"/>
      <c r="BM15" s="16"/>
      <c r="BN15" s="16"/>
      <c r="BO15" s="16"/>
      <c r="BP15" s="16"/>
      <c r="BQ15" s="16"/>
      <c r="BR15" s="16"/>
      <c r="BS15" s="16"/>
      <c r="BT15" s="16"/>
      <c r="BU15" s="17">
        <f t="shared" si="228"/>
        <v>0</v>
      </c>
      <c r="BW15" s="16"/>
      <c r="BX15" s="16"/>
      <c r="BY15" s="16"/>
      <c r="BZ15" s="16"/>
      <c r="CA15" s="16"/>
      <c r="CB15" s="16"/>
      <c r="CC15" s="16"/>
      <c r="CD15" s="16"/>
      <c r="CE15" s="16"/>
      <c r="CF15" s="16"/>
      <c r="CG15" s="16"/>
      <c r="CH15" s="16"/>
      <c r="CI15" s="17">
        <f t="shared" si="229"/>
        <v>0</v>
      </c>
      <c r="CK15" s="16"/>
      <c r="CL15" s="16"/>
      <c r="CM15" s="16"/>
      <c r="CN15" s="16"/>
      <c r="CO15" s="16"/>
      <c r="CP15" s="16"/>
      <c r="CQ15" s="16"/>
      <c r="CR15" s="16"/>
      <c r="CS15" s="16"/>
      <c r="CT15" s="16"/>
      <c r="CU15" s="16"/>
      <c r="CV15" s="16"/>
      <c r="CW15" s="17">
        <f t="shared" si="230"/>
        <v>0</v>
      </c>
      <c r="CY15" s="16"/>
      <c r="CZ15" s="16"/>
      <c r="DA15" s="16"/>
      <c r="DB15" s="16"/>
      <c r="DC15" s="16"/>
      <c r="DD15" s="16"/>
      <c r="DE15" s="16"/>
      <c r="DF15" s="16"/>
      <c r="DG15" s="16"/>
      <c r="DH15" s="16"/>
      <c r="DI15" s="16"/>
      <c r="DJ15" s="16"/>
      <c r="DK15" s="17">
        <f t="shared" si="231"/>
        <v>0</v>
      </c>
      <c r="DM15" s="16"/>
      <c r="DN15" s="16"/>
      <c r="DO15" s="16"/>
      <c r="DP15" s="16"/>
      <c r="DQ15" s="16"/>
      <c r="DR15" s="16"/>
      <c r="DS15" s="16"/>
      <c r="DT15" s="16"/>
      <c r="DU15" s="16"/>
      <c r="DV15" s="16"/>
      <c r="DW15" s="16"/>
      <c r="DX15" s="16"/>
      <c r="DY15" s="17">
        <f t="shared" si="232"/>
        <v>0</v>
      </c>
      <c r="EA15" s="16"/>
      <c r="EB15" s="16"/>
      <c r="EC15" s="16"/>
      <c r="ED15" s="16"/>
      <c r="EE15" s="16"/>
      <c r="EF15" s="16"/>
      <c r="EG15" s="16"/>
      <c r="EH15" s="16"/>
      <c r="EI15" s="16"/>
      <c r="EJ15" s="16"/>
      <c r="EK15" s="16"/>
      <c r="EL15" s="16"/>
      <c r="EM15" s="17">
        <f t="shared" si="233"/>
        <v>0</v>
      </c>
    </row>
    <row r="16" spans="3:143" ht="15" hidden="1" customHeight="1" x14ac:dyDescent="0.3">
      <c r="C16" s="15" t="s">
        <v>5</v>
      </c>
      <c r="E16" s="16"/>
      <c r="F16" s="16"/>
      <c r="G16" s="16"/>
      <c r="H16" s="16"/>
      <c r="I16" s="16"/>
      <c r="J16" s="16"/>
      <c r="K16" s="16"/>
      <c r="L16" s="16"/>
      <c r="M16" s="16"/>
      <c r="N16" s="16"/>
      <c r="O16" s="16"/>
      <c r="P16" s="16"/>
      <c r="Q16" s="17">
        <f>SUM(E16:P16)</f>
        <v>0</v>
      </c>
      <c r="S16" s="16"/>
      <c r="T16" s="16"/>
      <c r="U16" s="16"/>
      <c r="V16" s="16"/>
      <c r="W16" s="16"/>
      <c r="X16" s="16"/>
      <c r="Y16" s="16"/>
      <c r="Z16" s="16"/>
      <c r="AA16" s="16"/>
      <c r="AB16" s="16"/>
      <c r="AC16" s="16"/>
      <c r="AD16" s="16"/>
      <c r="AE16" s="17">
        <f>SUM(S16:AD16)</f>
        <v>0</v>
      </c>
      <c r="AG16" s="16"/>
      <c r="AH16" s="16"/>
      <c r="AI16" s="16"/>
      <c r="AJ16" s="16"/>
      <c r="AK16" s="16"/>
      <c r="AL16" s="16"/>
      <c r="AM16" s="16"/>
      <c r="AN16" s="16"/>
      <c r="AO16" s="16"/>
      <c r="AP16" s="16"/>
      <c r="AQ16" s="16"/>
      <c r="AR16" s="16"/>
      <c r="AS16" s="17">
        <f t="shared" si="226"/>
        <v>0</v>
      </c>
      <c r="AU16" s="16"/>
      <c r="AV16" s="16"/>
      <c r="AW16" s="16"/>
      <c r="AX16" s="16"/>
      <c r="AY16" s="16"/>
      <c r="AZ16" s="16"/>
      <c r="BA16" s="16"/>
      <c r="BB16" s="16"/>
      <c r="BC16" s="16"/>
      <c r="BD16" s="16"/>
      <c r="BE16" s="16"/>
      <c r="BF16" s="16"/>
      <c r="BG16" s="17">
        <f t="shared" si="227"/>
        <v>0</v>
      </c>
      <c r="BI16" s="16"/>
      <c r="BJ16" s="16"/>
      <c r="BK16" s="16"/>
      <c r="BL16" s="16"/>
      <c r="BM16" s="16"/>
      <c r="BN16" s="16"/>
      <c r="BO16" s="16"/>
      <c r="BP16" s="16"/>
      <c r="BQ16" s="16"/>
      <c r="BR16" s="16"/>
      <c r="BS16" s="16"/>
      <c r="BT16" s="16"/>
      <c r="BU16" s="17">
        <f t="shared" si="228"/>
        <v>0</v>
      </c>
      <c r="BW16" s="16"/>
      <c r="BX16" s="16"/>
      <c r="BY16" s="16"/>
      <c r="BZ16" s="16"/>
      <c r="CA16" s="16"/>
      <c r="CB16" s="16"/>
      <c r="CC16" s="16"/>
      <c r="CD16" s="16"/>
      <c r="CE16" s="16"/>
      <c r="CF16" s="16"/>
      <c r="CG16" s="16"/>
      <c r="CH16" s="16"/>
      <c r="CI16" s="17">
        <f t="shared" si="229"/>
        <v>0</v>
      </c>
      <c r="CK16" s="16"/>
      <c r="CL16" s="16"/>
      <c r="CM16" s="16"/>
      <c r="CN16" s="16"/>
      <c r="CO16" s="16"/>
      <c r="CP16" s="16"/>
      <c r="CQ16" s="16"/>
      <c r="CR16" s="16"/>
      <c r="CS16" s="16"/>
      <c r="CT16" s="16"/>
      <c r="CU16" s="16"/>
      <c r="CV16" s="16"/>
      <c r="CW16" s="17">
        <f t="shared" si="230"/>
        <v>0</v>
      </c>
      <c r="CY16" s="16"/>
      <c r="CZ16" s="16"/>
      <c r="DA16" s="16"/>
      <c r="DB16" s="16"/>
      <c r="DC16" s="16"/>
      <c r="DD16" s="16"/>
      <c r="DE16" s="16"/>
      <c r="DF16" s="16"/>
      <c r="DG16" s="16"/>
      <c r="DH16" s="16"/>
      <c r="DI16" s="16"/>
      <c r="DJ16" s="16"/>
      <c r="DK16" s="17">
        <f t="shared" si="231"/>
        <v>0</v>
      </c>
      <c r="DM16" s="16"/>
      <c r="DN16" s="16"/>
      <c r="DO16" s="16"/>
      <c r="DP16" s="16"/>
      <c r="DQ16" s="16"/>
      <c r="DR16" s="16"/>
      <c r="DS16" s="16"/>
      <c r="DT16" s="16"/>
      <c r="DU16" s="16"/>
      <c r="DV16" s="16"/>
      <c r="DW16" s="16"/>
      <c r="DX16" s="16"/>
      <c r="DY16" s="17">
        <f t="shared" si="232"/>
        <v>0</v>
      </c>
      <c r="EA16" s="16"/>
      <c r="EB16" s="16"/>
      <c r="EC16" s="16"/>
      <c r="ED16" s="16"/>
      <c r="EE16" s="16"/>
      <c r="EF16" s="16"/>
      <c r="EG16" s="16"/>
      <c r="EH16" s="16"/>
      <c r="EI16" s="16"/>
      <c r="EJ16" s="16"/>
      <c r="EK16" s="16"/>
      <c r="EL16" s="16"/>
      <c r="EM16" s="17">
        <f t="shared" si="233"/>
        <v>0</v>
      </c>
    </row>
    <row r="17" spans="3:143" ht="15" hidden="1" customHeight="1" x14ac:dyDescent="0.3">
      <c r="C17" s="15" t="s">
        <v>5</v>
      </c>
      <c r="E17" s="16"/>
      <c r="F17" s="16"/>
      <c r="G17" s="16"/>
      <c r="H17" s="16"/>
      <c r="I17" s="16"/>
      <c r="J17" s="16"/>
      <c r="K17" s="16"/>
      <c r="L17" s="16"/>
      <c r="M17" s="16"/>
      <c r="N17" s="16"/>
      <c r="O17" s="16"/>
      <c r="P17" s="16"/>
      <c r="Q17" s="17">
        <f t="shared" si="234"/>
        <v>0</v>
      </c>
      <c r="S17" s="16"/>
      <c r="T17" s="16"/>
      <c r="U17" s="16"/>
      <c r="V17" s="16"/>
      <c r="W17" s="16"/>
      <c r="X17" s="16"/>
      <c r="Y17" s="16"/>
      <c r="Z17" s="16"/>
      <c r="AA17" s="16"/>
      <c r="AB17" s="16"/>
      <c r="AC17" s="16"/>
      <c r="AD17" s="16"/>
      <c r="AE17" s="17">
        <f t="shared" ref="AE17:AE18" si="236">SUM(S17:AD17)</f>
        <v>0</v>
      </c>
      <c r="AG17" s="16"/>
      <c r="AH17" s="16"/>
      <c r="AI17" s="16"/>
      <c r="AJ17" s="16"/>
      <c r="AK17" s="16"/>
      <c r="AL17" s="16"/>
      <c r="AM17" s="16"/>
      <c r="AN17" s="16"/>
      <c r="AO17" s="16"/>
      <c r="AP17" s="16"/>
      <c r="AQ17" s="16"/>
      <c r="AR17" s="16"/>
      <c r="AS17" s="17">
        <f t="shared" si="226"/>
        <v>0</v>
      </c>
      <c r="AU17" s="16"/>
      <c r="AV17" s="16"/>
      <c r="AW17" s="16"/>
      <c r="AX17" s="16"/>
      <c r="AY17" s="16"/>
      <c r="AZ17" s="16"/>
      <c r="BA17" s="16"/>
      <c r="BB17" s="16"/>
      <c r="BC17" s="16"/>
      <c r="BD17" s="16"/>
      <c r="BE17" s="16"/>
      <c r="BF17" s="16"/>
      <c r="BG17" s="17">
        <f t="shared" si="227"/>
        <v>0</v>
      </c>
      <c r="BI17" s="16"/>
      <c r="BJ17" s="16"/>
      <c r="BK17" s="16"/>
      <c r="BL17" s="16"/>
      <c r="BM17" s="16"/>
      <c r="BN17" s="16"/>
      <c r="BO17" s="16"/>
      <c r="BP17" s="16"/>
      <c r="BQ17" s="16"/>
      <c r="BR17" s="16"/>
      <c r="BS17" s="16"/>
      <c r="BT17" s="16"/>
      <c r="BU17" s="17">
        <f t="shared" si="228"/>
        <v>0</v>
      </c>
      <c r="BW17" s="16"/>
      <c r="BX17" s="16"/>
      <c r="BY17" s="16"/>
      <c r="BZ17" s="16"/>
      <c r="CA17" s="16"/>
      <c r="CB17" s="16"/>
      <c r="CC17" s="16"/>
      <c r="CD17" s="16"/>
      <c r="CE17" s="16"/>
      <c r="CF17" s="16"/>
      <c r="CG17" s="16"/>
      <c r="CH17" s="16"/>
      <c r="CI17" s="17">
        <f t="shared" si="229"/>
        <v>0</v>
      </c>
      <c r="CK17" s="16"/>
      <c r="CL17" s="16"/>
      <c r="CM17" s="16"/>
      <c r="CN17" s="16"/>
      <c r="CO17" s="16"/>
      <c r="CP17" s="16"/>
      <c r="CQ17" s="16"/>
      <c r="CR17" s="16"/>
      <c r="CS17" s="16"/>
      <c r="CT17" s="16"/>
      <c r="CU17" s="16"/>
      <c r="CV17" s="16"/>
      <c r="CW17" s="17">
        <f t="shared" si="230"/>
        <v>0</v>
      </c>
      <c r="CY17" s="16"/>
      <c r="CZ17" s="16"/>
      <c r="DA17" s="16"/>
      <c r="DB17" s="16"/>
      <c r="DC17" s="16"/>
      <c r="DD17" s="16"/>
      <c r="DE17" s="16"/>
      <c r="DF17" s="16"/>
      <c r="DG17" s="16"/>
      <c r="DH17" s="16"/>
      <c r="DI17" s="16"/>
      <c r="DJ17" s="16"/>
      <c r="DK17" s="17">
        <f t="shared" si="231"/>
        <v>0</v>
      </c>
      <c r="DM17" s="16"/>
      <c r="DN17" s="16"/>
      <c r="DO17" s="16"/>
      <c r="DP17" s="16"/>
      <c r="DQ17" s="16"/>
      <c r="DR17" s="16"/>
      <c r="DS17" s="16"/>
      <c r="DT17" s="16"/>
      <c r="DU17" s="16"/>
      <c r="DV17" s="16"/>
      <c r="DW17" s="16"/>
      <c r="DX17" s="16"/>
      <c r="DY17" s="17">
        <f t="shared" si="232"/>
        <v>0</v>
      </c>
      <c r="EA17" s="16"/>
      <c r="EB17" s="16"/>
      <c r="EC17" s="16"/>
      <c r="ED17" s="16"/>
      <c r="EE17" s="16"/>
      <c r="EF17" s="16"/>
      <c r="EG17" s="16"/>
      <c r="EH17" s="16"/>
      <c r="EI17" s="16"/>
      <c r="EJ17" s="16"/>
      <c r="EK17" s="16"/>
      <c r="EL17" s="16"/>
      <c r="EM17" s="17">
        <f t="shared" si="233"/>
        <v>0</v>
      </c>
    </row>
    <row r="18" spans="3:143" ht="15" hidden="1" customHeight="1" x14ac:dyDescent="0.3">
      <c r="C18" s="15" t="s">
        <v>5</v>
      </c>
      <c r="E18" s="16"/>
      <c r="F18" s="16"/>
      <c r="G18" s="16"/>
      <c r="H18" s="16"/>
      <c r="I18" s="16"/>
      <c r="J18" s="16"/>
      <c r="K18" s="16"/>
      <c r="L18" s="16"/>
      <c r="M18" s="16"/>
      <c r="N18" s="16"/>
      <c r="O18" s="16"/>
      <c r="P18" s="16"/>
      <c r="Q18" s="17">
        <f t="shared" si="234"/>
        <v>0</v>
      </c>
      <c r="S18" s="16"/>
      <c r="T18" s="16"/>
      <c r="U18" s="16"/>
      <c r="V18" s="16"/>
      <c r="W18" s="16"/>
      <c r="X18" s="16"/>
      <c r="Y18" s="16"/>
      <c r="Z18" s="16"/>
      <c r="AA18" s="16"/>
      <c r="AB18" s="16"/>
      <c r="AC18" s="16"/>
      <c r="AD18" s="16"/>
      <c r="AE18" s="17">
        <f t="shared" si="236"/>
        <v>0</v>
      </c>
      <c r="AG18" s="16"/>
      <c r="AH18" s="16"/>
      <c r="AI18" s="16"/>
      <c r="AJ18" s="16"/>
      <c r="AK18" s="16"/>
      <c r="AL18" s="16"/>
      <c r="AM18" s="16"/>
      <c r="AN18" s="16"/>
      <c r="AO18" s="16"/>
      <c r="AP18" s="16"/>
      <c r="AQ18" s="16"/>
      <c r="AR18" s="16"/>
      <c r="AS18" s="17">
        <f t="shared" si="226"/>
        <v>0</v>
      </c>
      <c r="AU18" s="16"/>
      <c r="AV18" s="16"/>
      <c r="AW18" s="16"/>
      <c r="AX18" s="16"/>
      <c r="AY18" s="16"/>
      <c r="AZ18" s="16"/>
      <c r="BA18" s="16"/>
      <c r="BB18" s="16"/>
      <c r="BC18" s="16"/>
      <c r="BD18" s="16"/>
      <c r="BE18" s="16"/>
      <c r="BF18" s="16"/>
      <c r="BG18" s="17">
        <f t="shared" si="227"/>
        <v>0</v>
      </c>
      <c r="BI18" s="16"/>
      <c r="BJ18" s="16"/>
      <c r="BK18" s="16"/>
      <c r="BL18" s="16"/>
      <c r="BM18" s="16"/>
      <c r="BN18" s="16"/>
      <c r="BO18" s="16"/>
      <c r="BP18" s="16"/>
      <c r="BQ18" s="16"/>
      <c r="BR18" s="16"/>
      <c r="BS18" s="16"/>
      <c r="BT18" s="16"/>
      <c r="BU18" s="17">
        <f t="shared" si="228"/>
        <v>0</v>
      </c>
      <c r="BW18" s="16"/>
      <c r="BX18" s="16"/>
      <c r="BY18" s="16"/>
      <c r="BZ18" s="16"/>
      <c r="CA18" s="16"/>
      <c r="CB18" s="16"/>
      <c r="CC18" s="16"/>
      <c r="CD18" s="16"/>
      <c r="CE18" s="16"/>
      <c r="CF18" s="16"/>
      <c r="CG18" s="16"/>
      <c r="CH18" s="16"/>
      <c r="CI18" s="17">
        <f t="shared" si="229"/>
        <v>0</v>
      </c>
      <c r="CK18" s="16"/>
      <c r="CL18" s="16"/>
      <c r="CM18" s="16"/>
      <c r="CN18" s="16"/>
      <c r="CO18" s="16"/>
      <c r="CP18" s="16"/>
      <c r="CQ18" s="16"/>
      <c r="CR18" s="16"/>
      <c r="CS18" s="16"/>
      <c r="CT18" s="16"/>
      <c r="CU18" s="16"/>
      <c r="CV18" s="16"/>
      <c r="CW18" s="17">
        <f t="shared" si="230"/>
        <v>0</v>
      </c>
      <c r="CY18" s="16"/>
      <c r="CZ18" s="16"/>
      <c r="DA18" s="16"/>
      <c r="DB18" s="16"/>
      <c r="DC18" s="16"/>
      <c r="DD18" s="16"/>
      <c r="DE18" s="16"/>
      <c r="DF18" s="16"/>
      <c r="DG18" s="16"/>
      <c r="DH18" s="16"/>
      <c r="DI18" s="16"/>
      <c r="DJ18" s="16"/>
      <c r="DK18" s="17">
        <f t="shared" si="231"/>
        <v>0</v>
      </c>
      <c r="DM18" s="16"/>
      <c r="DN18" s="16"/>
      <c r="DO18" s="16"/>
      <c r="DP18" s="16"/>
      <c r="DQ18" s="16"/>
      <c r="DR18" s="16"/>
      <c r="DS18" s="16"/>
      <c r="DT18" s="16"/>
      <c r="DU18" s="16"/>
      <c r="DV18" s="16"/>
      <c r="DW18" s="16"/>
      <c r="DX18" s="16"/>
      <c r="DY18" s="17">
        <f t="shared" si="232"/>
        <v>0</v>
      </c>
      <c r="EA18" s="16"/>
      <c r="EB18" s="16"/>
      <c r="EC18" s="16"/>
      <c r="ED18" s="16"/>
      <c r="EE18" s="16"/>
      <c r="EF18" s="16"/>
      <c r="EG18" s="16"/>
      <c r="EH18" s="16"/>
      <c r="EI18" s="16"/>
      <c r="EJ18" s="16"/>
      <c r="EK18" s="16"/>
      <c r="EL18" s="16"/>
      <c r="EM18" s="17">
        <f t="shared" si="233"/>
        <v>0</v>
      </c>
    </row>
    <row r="19" spans="3:143" ht="15" hidden="1" customHeight="1" x14ac:dyDescent="0.3">
      <c r="C19" s="15" t="s">
        <v>5</v>
      </c>
      <c r="E19" s="17"/>
      <c r="F19" s="17"/>
      <c r="G19" s="17"/>
      <c r="H19" s="17"/>
      <c r="I19" s="17"/>
      <c r="J19" s="17"/>
      <c r="K19" s="17"/>
      <c r="L19" s="17"/>
      <c r="M19" s="17"/>
      <c r="N19" s="17"/>
      <c r="O19" s="17"/>
      <c r="P19" s="17"/>
      <c r="Q19" s="17">
        <f>SUM(E19:P19)</f>
        <v>0</v>
      </c>
      <c r="S19" s="17"/>
      <c r="T19" s="17"/>
      <c r="U19" s="17"/>
      <c r="V19" s="17"/>
      <c r="W19" s="17"/>
      <c r="X19" s="17"/>
      <c r="Y19" s="17"/>
      <c r="Z19" s="17"/>
      <c r="AA19" s="17"/>
      <c r="AB19" s="17"/>
      <c r="AC19" s="17"/>
      <c r="AD19" s="17"/>
      <c r="AE19" s="17">
        <f>SUM(S19:AD19)</f>
        <v>0</v>
      </c>
      <c r="AG19" s="17"/>
      <c r="AH19" s="17"/>
      <c r="AI19" s="17"/>
      <c r="AJ19" s="17"/>
      <c r="AK19" s="17"/>
      <c r="AL19" s="17"/>
      <c r="AM19" s="17"/>
      <c r="AN19" s="17"/>
      <c r="AO19" s="17"/>
      <c r="AP19" s="17"/>
      <c r="AQ19" s="17"/>
      <c r="AR19" s="17"/>
      <c r="AS19" s="17">
        <f t="shared" si="226"/>
        <v>0</v>
      </c>
      <c r="AU19" s="17"/>
      <c r="AV19" s="17"/>
      <c r="AW19" s="17"/>
      <c r="AX19" s="17"/>
      <c r="AY19" s="17"/>
      <c r="AZ19" s="17"/>
      <c r="BA19" s="17"/>
      <c r="BB19" s="17"/>
      <c r="BC19" s="17"/>
      <c r="BD19" s="17"/>
      <c r="BE19" s="17"/>
      <c r="BF19" s="17"/>
      <c r="BG19" s="17">
        <f t="shared" si="227"/>
        <v>0</v>
      </c>
      <c r="BI19" s="17"/>
      <c r="BJ19" s="17"/>
      <c r="BK19" s="17"/>
      <c r="BL19" s="17"/>
      <c r="BM19" s="17"/>
      <c r="BN19" s="17"/>
      <c r="BO19" s="17"/>
      <c r="BP19" s="17"/>
      <c r="BQ19" s="17"/>
      <c r="BR19" s="17"/>
      <c r="BS19" s="17"/>
      <c r="BT19" s="17"/>
      <c r="BU19" s="17">
        <f t="shared" si="228"/>
        <v>0</v>
      </c>
      <c r="BW19" s="17"/>
      <c r="BX19" s="17"/>
      <c r="BY19" s="17"/>
      <c r="BZ19" s="17"/>
      <c r="CA19" s="17"/>
      <c r="CB19" s="17"/>
      <c r="CC19" s="17"/>
      <c r="CD19" s="17"/>
      <c r="CE19" s="17"/>
      <c r="CF19" s="17"/>
      <c r="CG19" s="17"/>
      <c r="CH19" s="17"/>
      <c r="CI19" s="17">
        <f t="shared" si="229"/>
        <v>0</v>
      </c>
      <c r="CK19" s="17"/>
      <c r="CL19" s="17"/>
      <c r="CM19" s="17"/>
      <c r="CN19" s="17"/>
      <c r="CO19" s="17"/>
      <c r="CP19" s="17"/>
      <c r="CQ19" s="17"/>
      <c r="CR19" s="17"/>
      <c r="CS19" s="17"/>
      <c r="CT19" s="17"/>
      <c r="CU19" s="17"/>
      <c r="CV19" s="17"/>
      <c r="CW19" s="17">
        <f t="shared" si="230"/>
        <v>0</v>
      </c>
      <c r="CY19" s="17"/>
      <c r="CZ19" s="17"/>
      <c r="DA19" s="17"/>
      <c r="DB19" s="17"/>
      <c r="DC19" s="17"/>
      <c r="DD19" s="17"/>
      <c r="DE19" s="17"/>
      <c r="DF19" s="17"/>
      <c r="DG19" s="17"/>
      <c r="DH19" s="17"/>
      <c r="DI19" s="17"/>
      <c r="DJ19" s="17"/>
      <c r="DK19" s="17">
        <f t="shared" si="231"/>
        <v>0</v>
      </c>
      <c r="DM19" s="17"/>
      <c r="DN19" s="17"/>
      <c r="DO19" s="17"/>
      <c r="DP19" s="17"/>
      <c r="DQ19" s="17"/>
      <c r="DR19" s="17"/>
      <c r="DS19" s="17"/>
      <c r="DT19" s="17"/>
      <c r="DU19" s="17"/>
      <c r="DV19" s="17"/>
      <c r="DW19" s="17"/>
      <c r="DX19" s="17"/>
      <c r="DY19" s="17">
        <f t="shared" si="232"/>
        <v>0</v>
      </c>
      <c r="EA19" s="17"/>
      <c r="EB19" s="17"/>
      <c r="EC19" s="17"/>
      <c r="ED19" s="17"/>
      <c r="EE19" s="17"/>
      <c r="EF19" s="17"/>
      <c r="EG19" s="17"/>
      <c r="EH19" s="17"/>
      <c r="EI19" s="17"/>
      <c r="EJ19" s="17"/>
      <c r="EK19" s="17"/>
      <c r="EL19" s="17"/>
      <c r="EM19" s="17">
        <f t="shared" si="233"/>
        <v>0</v>
      </c>
    </row>
    <row r="20" spans="3:143" x14ac:dyDescent="0.3">
      <c r="C20" s="12" t="s">
        <v>6</v>
      </c>
      <c r="E20" s="17" cm="1">
        <f t="array" aca="1" ref="E20" ca="1">SUM(INDIRECT(ADDRESS(income_min_row,COLUMN())&amp;":"&amp; ADDRESS(income_max_row,COLUMN())))</f>
        <v>4650</v>
      </c>
      <c r="F20" s="17" cm="1">
        <f t="array" aca="1" ref="F20" ca="1">SUM(INDIRECT(ADDRESS(income_min_row,COLUMN())&amp;":"&amp; ADDRESS(income_max_row,COLUMN())))</f>
        <v>4550</v>
      </c>
      <c r="G20" s="17" cm="1">
        <f t="array" aca="1" ref="G20" ca="1">SUM(INDIRECT(ADDRESS(income_min_row,COLUMN())&amp;":"&amp; ADDRESS(income_max_row,COLUMN())))</f>
        <v>4600</v>
      </c>
      <c r="H20" s="17" cm="1">
        <f t="array" aca="1" ref="H20" ca="1">SUM(INDIRECT(ADDRESS(income_min_row,COLUMN())&amp;":"&amp; ADDRESS(income_max_row,COLUMN())))</f>
        <v>5650</v>
      </c>
      <c r="I20" s="17" cm="1">
        <f t="array" aca="1" ref="I20" ca="1">SUM(INDIRECT(ADDRESS(income_min_row,COLUMN())&amp;":"&amp; ADDRESS(income_max_row,COLUMN())))</f>
        <v>5550</v>
      </c>
      <c r="J20" s="17" cm="1">
        <f t="array" aca="1" ref="J20" ca="1">SUM(INDIRECT(ADDRESS(income_min_row,COLUMN())&amp;":"&amp; ADDRESS(income_max_row,COLUMN())))</f>
        <v>5600</v>
      </c>
      <c r="K20" s="17" cm="1">
        <f t="array" aca="1" ref="K20" ca="1">SUM(INDIRECT(ADDRESS(income_min_row,COLUMN())&amp;":"&amp; ADDRESS(income_max_row,COLUMN())))</f>
        <v>5650</v>
      </c>
      <c r="L20" s="17" cm="1">
        <f t="array" aca="1" ref="L20" ca="1">SUM(INDIRECT(ADDRESS(income_min_row,COLUMN())&amp;":"&amp; ADDRESS(income_max_row,COLUMN())))</f>
        <v>5550</v>
      </c>
      <c r="M20" s="17" cm="1">
        <f t="array" aca="1" ref="M20" ca="1">SUM(INDIRECT(ADDRESS(income_min_row,COLUMN())&amp;":"&amp; ADDRESS(income_max_row,COLUMN())))</f>
        <v>5600</v>
      </c>
      <c r="N20" s="17" cm="1">
        <f t="array" aca="1" ref="N20" ca="1">SUM(INDIRECT(ADDRESS(income_min_row,COLUMN())&amp;":"&amp; ADDRESS(income_max_row,COLUMN())))</f>
        <v>5650</v>
      </c>
      <c r="O20" s="17" cm="1">
        <f t="array" aca="1" ref="O20" ca="1">SUM(INDIRECT(ADDRESS(income_min_row,COLUMN())&amp;":"&amp; ADDRESS(income_max_row,COLUMN())))</f>
        <v>5550</v>
      </c>
      <c r="P20" s="17" cm="1">
        <f t="array" aca="1" ref="P20" ca="1">SUM(INDIRECT(ADDRESS(income_min_row,COLUMN())&amp;":"&amp; ADDRESS(income_max_row,COLUMN())))</f>
        <v>5600</v>
      </c>
      <c r="Q20" s="17" cm="1">
        <f t="array" aca="1" ref="Q20" ca="1">SUM(INDIRECT(ADDRESS(income_min_row,COLUMN())&amp;":"&amp; ADDRESS(income_max_row,COLUMN())))</f>
        <v>64200</v>
      </c>
      <c r="S20" s="17" cm="1">
        <f t="array" aca="1" ref="S20" ca="1">SUM(INDIRECT(ADDRESS(income_min_row,COLUMN())&amp;":"&amp; ADDRESS(income_max_row,COLUMN())))</f>
        <v>0</v>
      </c>
      <c r="T20" s="17" cm="1">
        <f t="array" aca="1" ref="T20" ca="1">SUM(INDIRECT(ADDRESS(income_min_row,COLUMN())&amp;":"&amp; ADDRESS(income_max_row,COLUMN())))</f>
        <v>0</v>
      </c>
      <c r="U20" s="17" cm="1">
        <f t="array" aca="1" ref="U20" ca="1">SUM(INDIRECT(ADDRESS(income_min_row,COLUMN())&amp;":"&amp; ADDRESS(income_max_row,COLUMN())))</f>
        <v>0</v>
      </c>
      <c r="V20" s="17" cm="1">
        <f t="array" aca="1" ref="V20" ca="1">SUM(INDIRECT(ADDRESS(income_min_row,COLUMN())&amp;":"&amp; ADDRESS(income_max_row,COLUMN())))</f>
        <v>0</v>
      </c>
      <c r="W20" s="17" cm="1">
        <f t="array" aca="1" ref="W20" ca="1">SUM(INDIRECT(ADDRESS(income_min_row,COLUMN())&amp;":"&amp; ADDRESS(income_max_row,COLUMN())))</f>
        <v>0</v>
      </c>
      <c r="X20" s="17" cm="1">
        <f t="array" aca="1" ref="X20" ca="1">SUM(INDIRECT(ADDRESS(income_min_row,COLUMN())&amp;":"&amp; ADDRESS(income_max_row,COLUMN())))</f>
        <v>0</v>
      </c>
      <c r="Y20" s="17" cm="1">
        <f t="array" aca="1" ref="Y20" ca="1">SUM(INDIRECT(ADDRESS(income_min_row,COLUMN())&amp;":"&amp; ADDRESS(income_max_row,COLUMN())))</f>
        <v>0</v>
      </c>
      <c r="Z20" s="17" cm="1">
        <f t="array" aca="1" ref="Z20" ca="1">SUM(INDIRECT(ADDRESS(income_min_row,COLUMN())&amp;":"&amp; ADDRESS(income_max_row,COLUMN())))</f>
        <v>0</v>
      </c>
      <c r="AA20" s="17" cm="1">
        <f t="array" aca="1" ref="AA20" ca="1">SUM(INDIRECT(ADDRESS(income_min_row,COLUMN())&amp;":"&amp; ADDRESS(income_max_row,COLUMN())))</f>
        <v>0</v>
      </c>
      <c r="AB20" s="17" cm="1">
        <f t="array" aca="1" ref="AB20" ca="1">SUM(INDIRECT(ADDRESS(income_min_row,COLUMN())&amp;":"&amp; ADDRESS(income_max_row,COLUMN())))</f>
        <v>0</v>
      </c>
      <c r="AC20" s="17" cm="1">
        <f t="array" aca="1" ref="AC20" ca="1">SUM(INDIRECT(ADDRESS(income_min_row,COLUMN())&amp;":"&amp; ADDRESS(income_max_row,COLUMN())))</f>
        <v>0</v>
      </c>
      <c r="AD20" s="17" cm="1">
        <f t="array" aca="1" ref="AD20" ca="1">SUM(INDIRECT(ADDRESS(income_min_row,COLUMN())&amp;":"&amp; ADDRESS(income_max_row,COLUMN())))</f>
        <v>0</v>
      </c>
      <c r="AE20" s="17" cm="1">
        <f t="array" aca="1" ref="AE20" ca="1">SUM(INDIRECT(ADDRESS(income_min_row,COLUMN())&amp;":"&amp; ADDRESS(income_max_row,COLUMN())))</f>
        <v>0</v>
      </c>
      <c r="AG20" s="17" cm="1">
        <f t="array" aca="1" ref="AG20" ca="1">SUM(INDIRECT(ADDRESS(income_min_row,COLUMN())&amp;":"&amp; ADDRESS(income_max_row,COLUMN())))</f>
        <v>0</v>
      </c>
      <c r="AH20" s="17" cm="1">
        <f t="array" aca="1" ref="AH20" ca="1">SUM(INDIRECT(ADDRESS(income_min_row,COLUMN())&amp;":"&amp; ADDRESS(income_max_row,COLUMN())))</f>
        <v>0</v>
      </c>
      <c r="AI20" s="17" cm="1">
        <f t="array" aca="1" ref="AI20" ca="1">SUM(INDIRECT(ADDRESS(income_min_row,COLUMN())&amp;":"&amp; ADDRESS(income_max_row,COLUMN())))</f>
        <v>0</v>
      </c>
      <c r="AJ20" s="17" cm="1">
        <f t="array" aca="1" ref="AJ20" ca="1">SUM(INDIRECT(ADDRESS(income_min_row,COLUMN())&amp;":"&amp; ADDRESS(income_max_row,COLUMN())))</f>
        <v>0</v>
      </c>
      <c r="AK20" s="17" cm="1">
        <f t="array" aca="1" ref="AK20" ca="1">SUM(INDIRECT(ADDRESS(income_min_row,COLUMN())&amp;":"&amp; ADDRESS(income_max_row,COLUMN())))</f>
        <v>0</v>
      </c>
      <c r="AL20" s="17" cm="1">
        <f t="array" aca="1" ref="AL20" ca="1">SUM(INDIRECT(ADDRESS(income_min_row,COLUMN())&amp;":"&amp; ADDRESS(income_max_row,COLUMN())))</f>
        <v>0</v>
      </c>
      <c r="AM20" s="17" cm="1">
        <f t="array" aca="1" ref="AM20" ca="1">SUM(INDIRECT(ADDRESS(income_min_row,COLUMN())&amp;":"&amp; ADDRESS(income_max_row,COLUMN())))</f>
        <v>0</v>
      </c>
      <c r="AN20" s="17" cm="1">
        <f t="array" aca="1" ref="AN20" ca="1">SUM(INDIRECT(ADDRESS(income_min_row,COLUMN())&amp;":"&amp; ADDRESS(income_max_row,COLUMN())))</f>
        <v>0</v>
      </c>
      <c r="AO20" s="17" cm="1">
        <f t="array" aca="1" ref="AO20" ca="1">SUM(INDIRECT(ADDRESS(income_min_row,COLUMN())&amp;":"&amp; ADDRESS(income_max_row,COLUMN())))</f>
        <v>0</v>
      </c>
      <c r="AP20" s="17" cm="1">
        <f t="array" aca="1" ref="AP20" ca="1">SUM(INDIRECT(ADDRESS(income_min_row,COLUMN())&amp;":"&amp; ADDRESS(income_max_row,COLUMN())))</f>
        <v>0</v>
      </c>
      <c r="AQ20" s="17" cm="1">
        <f t="array" aca="1" ref="AQ20" ca="1">SUM(INDIRECT(ADDRESS(income_min_row,COLUMN())&amp;":"&amp; ADDRESS(income_max_row,COLUMN())))</f>
        <v>0</v>
      </c>
      <c r="AR20" s="17" cm="1">
        <f t="array" aca="1" ref="AR20" ca="1">SUM(INDIRECT(ADDRESS(income_min_row,COLUMN())&amp;":"&amp; ADDRESS(income_max_row,COLUMN())))</f>
        <v>0</v>
      </c>
      <c r="AS20" s="17" cm="1">
        <f t="array" aca="1" ref="AS20" ca="1">SUM(INDIRECT(ADDRESS(income_min_row,COLUMN())&amp;":"&amp; ADDRESS(income_max_row,COLUMN())))</f>
        <v>0</v>
      </c>
      <c r="AU20" s="17" cm="1">
        <f t="array" aca="1" ref="AU20" ca="1">SUM(INDIRECT(ADDRESS(income_min_row,COLUMN())&amp;":"&amp; ADDRESS(income_max_row,COLUMN())))</f>
        <v>0</v>
      </c>
      <c r="AV20" s="17" cm="1">
        <f t="array" aca="1" ref="AV20" ca="1">SUM(INDIRECT(ADDRESS(income_min_row,COLUMN())&amp;":"&amp; ADDRESS(income_max_row,COLUMN())))</f>
        <v>0</v>
      </c>
      <c r="AW20" s="17" cm="1">
        <f t="array" aca="1" ref="AW20" ca="1">SUM(INDIRECT(ADDRESS(income_min_row,COLUMN())&amp;":"&amp; ADDRESS(income_max_row,COLUMN())))</f>
        <v>0</v>
      </c>
      <c r="AX20" s="17" cm="1">
        <f t="array" aca="1" ref="AX20" ca="1">SUM(INDIRECT(ADDRESS(income_min_row,COLUMN())&amp;":"&amp; ADDRESS(income_max_row,COLUMN())))</f>
        <v>0</v>
      </c>
      <c r="AY20" s="17" cm="1">
        <f t="array" aca="1" ref="AY20" ca="1">SUM(INDIRECT(ADDRESS(income_min_row,COLUMN())&amp;":"&amp; ADDRESS(income_max_row,COLUMN())))</f>
        <v>0</v>
      </c>
      <c r="AZ20" s="17" cm="1">
        <f t="array" aca="1" ref="AZ20" ca="1">SUM(INDIRECT(ADDRESS(income_min_row,COLUMN())&amp;":"&amp; ADDRESS(income_max_row,COLUMN())))</f>
        <v>0</v>
      </c>
      <c r="BA20" s="17" cm="1">
        <f t="array" aca="1" ref="BA20" ca="1">SUM(INDIRECT(ADDRESS(income_min_row,COLUMN())&amp;":"&amp; ADDRESS(income_max_row,COLUMN())))</f>
        <v>0</v>
      </c>
      <c r="BB20" s="17" cm="1">
        <f t="array" aca="1" ref="BB20" ca="1">SUM(INDIRECT(ADDRESS(income_min_row,COLUMN())&amp;":"&amp; ADDRESS(income_max_row,COLUMN())))</f>
        <v>0</v>
      </c>
      <c r="BC20" s="17" cm="1">
        <f t="array" aca="1" ref="BC20" ca="1">SUM(INDIRECT(ADDRESS(income_min_row,COLUMN())&amp;":"&amp; ADDRESS(income_max_row,COLUMN())))</f>
        <v>0</v>
      </c>
      <c r="BD20" s="17" cm="1">
        <f t="array" aca="1" ref="BD20" ca="1">SUM(INDIRECT(ADDRESS(income_min_row,COLUMN())&amp;":"&amp; ADDRESS(income_max_row,COLUMN())))</f>
        <v>0</v>
      </c>
      <c r="BE20" s="17" cm="1">
        <f t="array" aca="1" ref="BE20" ca="1">SUM(INDIRECT(ADDRESS(income_min_row,COLUMN())&amp;":"&amp; ADDRESS(income_max_row,COLUMN())))</f>
        <v>0</v>
      </c>
      <c r="BF20" s="17" cm="1">
        <f t="array" aca="1" ref="BF20" ca="1">SUM(INDIRECT(ADDRESS(income_min_row,COLUMN())&amp;":"&amp; ADDRESS(income_max_row,COLUMN())))</f>
        <v>0</v>
      </c>
      <c r="BG20" s="17" cm="1">
        <f t="array" aca="1" ref="BG20" ca="1">SUM(INDIRECT(ADDRESS(income_min_row,COLUMN())&amp;":"&amp; ADDRESS(income_max_row,COLUMN())))</f>
        <v>0</v>
      </c>
      <c r="BI20" s="17" cm="1">
        <f t="array" aca="1" ref="BI20" ca="1">SUM(INDIRECT(ADDRESS(income_min_row,COLUMN())&amp;":"&amp; ADDRESS(income_max_row,COLUMN())))</f>
        <v>0</v>
      </c>
      <c r="BJ20" s="17" cm="1">
        <f t="array" aca="1" ref="BJ20" ca="1">SUM(INDIRECT(ADDRESS(income_min_row,COLUMN())&amp;":"&amp; ADDRESS(income_max_row,COLUMN())))</f>
        <v>0</v>
      </c>
      <c r="BK20" s="17" cm="1">
        <f t="array" aca="1" ref="BK20" ca="1">SUM(INDIRECT(ADDRESS(income_min_row,COLUMN())&amp;":"&amp; ADDRESS(income_max_row,COLUMN())))</f>
        <v>0</v>
      </c>
      <c r="BL20" s="17" cm="1">
        <f t="array" aca="1" ref="BL20" ca="1">SUM(INDIRECT(ADDRESS(income_min_row,COLUMN())&amp;":"&amp; ADDRESS(income_max_row,COLUMN())))</f>
        <v>0</v>
      </c>
      <c r="BM20" s="17" cm="1">
        <f t="array" aca="1" ref="BM20" ca="1">SUM(INDIRECT(ADDRESS(income_min_row,COLUMN())&amp;":"&amp; ADDRESS(income_max_row,COLUMN())))</f>
        <v>0</v>
      </c>
      <c r="BN20" s="17" cm="1">
        <f t="array" aca="1" ref="BN20" ca="1">SUM(INDIRECT(ADDRESS(income_min_row,COLUMN())&amp;":"&amp; ADDRESS(income_max_row,COLUMN())))</f>
        <v>0</v>
      </c>
      <c r="BO20" s="17" cm="1">
        <f t="array" aca="1" ref="BO20" ca="1">SUM(INDIRECT(ADDRESS(income_min_row,COLUMN())&amp;":"&amp; ADDRESS(income_max_row,COLUMN())))</f>
        <v>0</v>
      </c>
      <c r="BP20" s="17" cm="1">
        <f t="array" aca="1" ref="BP20" ca="1">SUM(INDIRECT(ADDRESS(income_min_row,COLUMN())&amp;":"&amp; ADDRESS(income_max_row,COLUMN())))</f>
        <v>0</v>
      </c>
      <c r="BQ20" s="17" cm="1">
        <f t="array" aca="1" ref="BQ20" ca="1">SUM(INDIRECT(ADDRESS(income_min_row,COLUMN())&amp;":"&amp; ADDRESS(income_max_row,COLUMN())))</f>
        <v>0</v>
      </c>
      <c r="BR20" s="17" cm="1">
        <f t="array" aca="1" ref="BR20" ca="1">SUM(INDIRECT(ADDRESS(income_min_row,COLUMN())&amp;":"&amp; ADDRESS(income_max_row,COLUMN())))</f>
        <v>0</v>
      </c>
      <c r="BS20" s="17" cm="1">
        <f t="array" aca="1" ref="BS20" ca="1">SUM(INDIRECT(ADDRESS(income_min_row,COLUMN())&amp;":"&amp; ADDRESS(income_max_row,COLUMN())))</f>
        <v>0</v>
      </c>
      <c r="BT20" s="17" cm="1">
        <f t="array" aca="1" ref="BT20" ca="1">SUM(INDIRECT(ADDRESS(income_min_row,COLUMN())&amp;":"&amp; ADDRESS(income_max_row,COLUMN())))</f>
        <v>0</v>
      </c>
      <c r="BU20" s="17" cm="1">
        <f t="array" aca="1" ref="BU20" ca="1">SUM(INDIRECT(ADDRESS(income_min_row,COLUMN())&amp;":"&amp; ADDRESS(income_max_row,COLUMN())))</f>
        <v>0</v>
      </c>
      <c r="BW20" s="17" cm="1">
        <f t="array" aca="1" ref="BW20" ca="1">SUM(INDIRECT(ADDRESS(income_min_row,COLUMN())&amp;":"&amp; ADDRESS(income_max_row,COLUMN())))</f>
        <v>0</v>
      </c>
      <c r="BX20" s="17" cm="1">
        <f t="array" aca="1" ref="BX20" ca="1">SUM(INDIRECT(ADDRESS(income_min_row,COLUMN())&amp;":"&amp; ADDRESS(income_max_row,COLUMN())))</f>
        <v>0</v>
      </c>
      <c r="BY20" s="17" cm="1">
        <f t="array" aca="1" ref="BY20" ca="1">SUM(INDIRECT(ADDRESS(income_min_row,COLUMN())&amp;":"&amp; ADDRESS(income_max_row,COLUMN())))</f>
        <v>0</v>
      </c>
      <c r="BZ20" s="17" cm="1">
        <f t="array" aca="1" ref="BZ20" ca="1">SUM(INDIRECT(ADDRESS(income_min_row,COLUMN())&amp;":"&amp; ADDRESS(income_max_row,COLUMN())))</f>
        <v>0</v>
      </c>
      <c r="CA20" s="17" cm="1">
        <f t="array" aca="1" ref="CA20" ca="1">SUM(INDIRECT(ADDRESS(income_min_row,COLUMN())&amp;":"&amp; ADDRESS(income_max_row,COLUMN())))</f>
        <v>0</v>
      </c>
      <c r="CB20" s="17" cm="1">
        <f t="array" aca="1" ref="CB20" ca="1">SUM(INDIRECT(ADDRESS(income_min_row,COLUMN())&amp;":"&amp; ADDRESS(income_max_row,COLUMN())))</f>
        <v>0</v>
      </c>
      <c r="CC20" s="17" cm="1">
        <f t="array" aca="1" ref="CC20" ca="1">SUM(INDIRECT(ADDRESS(income_min_row,COLUMN())&amp;":"&amp; ADDRESS(income_max_row,COLUMN())))</f>
        <v>0</v>
      </c>
      <c r="CD20" s="17" cm="1">
        <f t="array" aca="1" ref="CD20" ca="1">SUM(INDIRECT(ADDRESS(income_min_row,COLUMN())&amp;":"&amp; ADDRESS(income_max_row,COLUMN())))</f>
        <v>0</v>
      </c>
      <c r="CE20" s="17" cm="1">
        <f t="array" aca="1" ref="CE20" ca="1">SUM(INDIRECT(ADDRESS(income_min_row,COLUMN())&amp;":"&amp; ADDRESS(income_max_row,COLUMN())))</f>
        <v>0</v>
      </c>
      <c r="CF20" s="17" cm="1">
        <f t="array" aca="1" ref="CF20" ca="1">SUM(INDIRECT(ADDRESS(income_min_row,COLUMN())&amp;":"&amp; ADDRESS(income_max_row,COLUMN())))</f>
        <v>0</v>
      </c>
      <c r="CG20" s="17" cm="1">
        <f t="array" aca="1" ref="CG20" ca="1">SUM(INDIRECT(ADDRESS(income_min_row,COLUMN())&amp;":"&amp; ADDRESS(income_max_row,COLUMN())))</f>
        <v>0</v>
      </c>
      <c r="CH20" s="17" cm="1">
        <f t="array" aca="1" ref="CH20" ca="1">SUM(INDIRECT(ADDRESS(income_min_row,COLUMN())&amp;":"&amp; ADDRESS(income_max_row,COLUMN())))</f>
        <v>0</v>
      </c>
      <c r="CI20" s="17" cm="1">
        <f t="array" aca="1" ref="CI20" ca="1">SUM(INDIRECT(ADDRESS(income_min_row,COLUMN())&amp;":"&amp; ADDRESS(income_max_row,COLUMN())))</f>
        <v>0</v>
      </c>
      <c r="CK20" s="17" cm="1">
        <f t="array" aca="1" ref="CK20" ca="1">SUM(INDIRECT(ADDRESS(income_min_row,COLUMN())&amp;":"&amp; ADDRESS(income_max_row,COLUMN())))</f>
        <v>0</v>
      </c>
      <c r="CL20" s="17" cm="1">
        <f t="array" aca="1" ref="CL20" ca="1">SUM(INDIRECT(ADDRESS(income_min_row,COLUMN())&amp;":"&amp; ADDRESS(income_max_row,COLUMN())))</f>
        <v>0</v>
      </c>
      <c r="CM20" s="17" cm="1">
        <f t="array" aca="1" ref="CM20" ca="1">SUM(INDIRECT(ADDRESS(income_min_row,COLUMN())&amp;":"&amp; ADDRESS(income_max_row,COLUMN())))</f>
        <v>0</v>
      </c>
      <c r="CN20" s="17" cm="1">
        <f t="array" aca="1" ref="CN20" ca="1">SUM(INDIRECT(ADDRESS(income_min_row,COLUMN())&amp;":"&amp; ADDRESS(income_max_row,COLUMN())))</f>
        <v>0</v>
      </c>
      <c r="CO20" s="17" cm="1">
        <f t="array" aca="1" ref="CO20" ca="1">SUM(INDIRECT(ADDRESS(income_min_row,COLUMN())&amp;":"&amp; ADDRESS(income_max_row,COLUMN())))</f>
        <v>0</v>
      </c>
      <c r="CP20" s="17" cm="1">
        <f t="array" aca="1" ref="CP20" ca="1">SUM(INDIRECT(ADDRESS(income_min_row,COLUMN())&amp;":"&amp; ADDRESS(income_max_row,COLUMN())))</f>
        <v>0</v>
      </c>
      <c r="CQ20" s="17" cm="1">
        <f t="array" aca="1" ref="CQ20" ca="1">SUM(INDIRECT(ADDRESS(income_min_row,COLUMN())&amp;":"&amp; ADDRESS(income_max_row,COLUMN())))</f>
        <v>0</v>
      </c>
      <c r="CR20" s="17" cm="1">
        <f t="array" aca="1" ref="CR20" ca="1">SUM(INDIRECT(ADDRESS(income_min_row,COLUMN())&amp;":"&amp; ADDRESS(income_max_row,COLUMN())))</f>
        <v>0</v>
      </c>
      <c r="CS20" s="17" cm="1">
        <f t="array" aca="1" ref="CS20" ca="1">SUM(INDIRECT(ADDRESS(income_min_row,COLUMN())&amp;":"&amp; ADDRESS(income_max_row,COLUMN())))</f>
        <v>0</v>
      </c>
      <c r="CT20" s="17" cm="1">
        <f t="array" aca="1" ref="CT20" ca="1">SUM(INDIRECT(ADDRESS(income_min_row,COLUMN())&amp;":"&amp; ADDRESS(income_max_row,COLUMN())))</f>
        <v>0</v>
      </c>
      <c r="CU20" s="17" cm="1">
        <f t="array" aca="1" ref="CU20" ca="1">SUM(INDIRECT(ADDRESS(income_min_row,COLUMN())&amp;":"&amp; ADDRESS(income_max_row,COLUMN())))</f>
        <v>0</v>
      </c>
      <c r="CV20" s="17" cm="1">
        <f t="array" aca="1" ref="CV20" ca="1">SUM(INDIRECT(ADDRESS(income_min_row,COLUMN())&amp;":"&amp; ADDRESS(income_max_row,COLUMN())))</f>
        <v>0</v>
      </c>
      <c r="CW20" s="17" cm="1">
        <f t="array" aca="1" ref="CW20" ca="1">SUM(INDIRECT(ADDRESS(income_min_row,COLUMN())&amp;":"&amp; ADDRESS(income_max_row,COLUMN())))</f>
        <v>0</v>
      </c>
      <c r="CY20" s="17" cm="1">
        <f t="array" aca="1" ref="CY20" ca="1">SUM(INDIRECT(ADDRESS(income_min_row,COLUMN())&amp;":"&amp; ADDRESS(income_max_row,COLUMN())))</f>
        <v>0</v>
      </c>
      <c r="CZ20" s="17" cm="1">
        <f t="array" aca="1" ref="CZ20" ca="1">SUM(INDIRECT(ADDRESS(income_min_row,COLUMN())&amp;":"&amp; ADDRESS(income_max_row,COLUMN())))</f>
        <v>0</v>
      </c>
      <c r="DA20" s="17" cm="1">
        <f t="array" aca="1" ref="DA20" ca="1">SUM(INDIRECT(ADDRESS(income_min_row,COLUMN())&amp;":"&amp; ADDRESS(income_max_row,COLUMN())))</f>
        <v>0</v>
      </c>
      <c r="DB20" s="17" cm="1">
        <f t="array" aca="1" ref="DB20" ca="1">SUM(INDIRECT(ADDRESS(income_min_row,COLUMN())&amp;":"&amp; ADDRESS(income_max_row,COLUMN())))</f>
        <v>0</v>
      </c>
      <c r="DC20" s="17" cm="1">
        <f t="array" aca="1" ref="DC20" ca="1">SUM(INDIRECT(ADDRESS(income_min_row,COLUMN())&amp;":"&amp; ADDRESS(income_max_row,COLUMN())))</f>
        <v>0</v>
      </c>
      <c r="DD20" s="17" cm="1">
        <f t="array" aca="1" ref="DD20" ca="1">SUM(INDIRECT(ADDRESS(income_min_row,COLUMN())&amp;":"&amp; ADDRESS(income_max_row,COLUMN())))</f>
        <v>0</v>
      </c>
      <c r="DE20" s="17" cm="1">
        <f t="array" aca="1" ref="DE20" ca="1">SUM(INDIRECT(ADDRESS(income_min_row,COLUMN())&amp;":"&amp; ADDRESS(income_max_row,COLUMN())))</f>
        <v>0</v>
      </c>
      <c r="DF20" s="17" cm="1">
        <f t="array" aca="1" ref="DF20" ca="1">SUM(INDIRECT(ADDRESS(income_min_row,COLUMN())&amp;":"&amp; ADDRESS(income_max_row,COLUMN())))</f>
        <v>0</v>
      </c>
      <c r="DG20" s="17" cm="1">
        <f t="array" aca="1" ref="DG20" ca="1">SUM(INDIRECT(ADDRESS(income_min_row,COLUMN())&amp;":"&amp; ADDRESS(income_max_row,COLUMN())))</f>
        <v>0</v>
      </c>
      <c r="DH20" s="17" cm="1">
        <f t="array" aca="1" ref="DH20" ca="1">SUM(INDIRECT(ADDRESS(income_min_row,COLUMN())&amp;":"&amp; ADDRESS(income_max_row,COLUMN())))</f>
        <v>0</v>
      </c>
      <c r="DI20" s="17" cm="1">
        <f t="array" aca="1" ref="DI20" ca="1">SUM(INDIRECT(ADDRESS(income_min_row,COLUMN())&amp;":"&amp; ADDRESS(income_max_row,COLUMN())))</f>
        <v>0</v>
      </c>
      <c r="DJ20" s="17" cm="1">
        <f t="array" aca="1" ref="DJ20" ca="1">SUM(INDIRECT(ADDRESS(income_min_row,COLUMN())&amp;":"&amp; ADDRESS(income_max_row,COLUMN())))</f>
        <v>0</v>
      </c>
      <c r="DK20" s="17" cm="1">
        <f t="array" aca="1" ref="DK20" ca="1">SUM(INDIRECT(ADDRESS(income_min_row,COLUMN())&amp;":"&amp; ADDRESS(income_max_row,COLUMN())))</f>
        <v>0</v>
      </c>
      <c r="DM20" s="17" cm="1">
        <f t="array" aca="1" ref="DM20" ca="1">SUM(INDIRECT(ADDRESS(income_min_row,COLUMN())&amp;":"&amp; ADDRESS(income_max_row,COLUMN())))</f>
        <v>0</v>
      </c>
      <c r="DN20" s="17" cm="1">
        <f t="array" aca="1" ref="DN20" ca="1">SUM(INDIRECT(ADDRESS(income_min_row,COLUMN())&amp;":"&amp; ADDRESS(income_max_row,COLUMN())))</f>
        <v>0</v>
      </c>
      <c r="DO20" s="17" cm="1">
        <f t="array" aca="1" ref="DO20" ca="1">SUM(INDIRECT(ADDRESS(income_min_row,COLUMN())&amp;":"&amp; ADDRESS(income_max_row,COLUMN())))</f>
        <v>0</v>
      </c>
      <c r="DP20" s="17" cm="1">
        <f t="array" aca="1" ref="DP20" ca="1">SUM(INDIRECT(ADDRESS(income_min_row,COLUMN())&amp;":"&amp; ADDRESS(income_max_row,COLUMN())))</f>
        <v>0</v>
      </c>
      <c r="DQ20" s="17" cm="1">
        <f t="array" aca="1" ref="DQ20" ca="1">SUM(INDIRECT(ADDRESS(income_min_row,COLUMN())&amp;":"&amp; ADDRESS(income_max_row,COLUMN())))</f>
        <v>0</v>
      </c>
      <c r="DR20" s="17" cm="1">
        <f t="array" aca="1" ref="DR20" ca="1">SUM(INDIRECT(ADDRESS(income_min_row,COLUMN())&amp;":"&amp; ADDRESS(income_max_row,COLUMN())))</f>
        <v>0</v>
      </c>
      <c r="DS20" s="17" cm="1">
        <f t="array" aca="1" ref="DS20" ca="1">SUM(INDIRECT(ADDRESS(income_min_row,COLUMN())&amp;":"&amp; ADDRESS(income_max_row,COLUMN())))</f>
        <v>0</v>
      </c>
      <c r="DT20" s="17" cm="1">
        <f t="array" aca="1" ref="DT20" ca="1">SUM(INDIRECT(ADDRESS(income_min_row,COLUMN())&amp;":"&amp; ADDRESS(income_max_row,COLUMN())))</f>
        <v>0</v>
      </c>
      <c r="DU20" s="17" cm="1">
        <f t="array" aca="1" ref="DU20" ca="1">SUM(INDIRECT(ADDRESS(income_min_row,COLUMN())&amp;":"&amp; ADDRESS(income_max_row,COLUMN())))</f>
        <v>0</v>
      </c>
      <c r="DV20" s="17" cm="1">
        <f t="array" aca="1" ref="DV20" ca="1">SUM(INDIRECT(ADDRESS(income_min_row,COLUMN())&amp;":"&amp; ADDRESS(income_max_row,COLUMN())))</f>
        <v>0</v>
      </c>
      <c r="DW20" s="17" cm="1">
        <f t="array" aca="1" ref="DW20" ca="1">SUM(INDIRECT(ADDRESS(income_min_row,COLUMN())&amp;":"&amp; ADDRESS(income_max_row,COLUMN())))</f>
        <v>0</v>
      </c>
      <c r="DX20" s="17" cm="1">
        <f t="array" aca="1" ref="DX20" ca="1">SUM(INDIRECT(ADDRESS(income_min_row,COLUMN())&amp;":"&amp; ADDRESS(income_max_row,COLUMN())))</f>
        <v>0</v>
      </c>
      <c r="DY20" s="17" cm="1">
        <f t="array" aca="1" ref="DY20" ca="1">SUM(INDIRECT(ADDRESS(income_min_row,COLUMN())&amp;":"&amp; ADDRESS(income_max_row,COLUMN())))</f>
        <v>0</v>
      </c>
      <c r="EA20" s="17" cm="1">
        <f t="array" aca="1" ref="EA20" ca="1">SUM(INDIRECT(ADDRESS(income_min_row,COLUMN())&amp;":"&amp; ADDRESS(income_max_row,COLUMN())))</f>
        <v>0</v>
      </c>
      <c r="EB20" s="17" cm="1">
        <f t="array" aca="1" ref="EB20" ca="1">SUM(INDIRECT(ADDRESS(income_min_row,COLUMN())&amp;":"&amp; ADDRESS(income_max_row,COLUMN())))</f>
        <v>0</v>
      </c>
      <c r="EC20" s="17" cm="1">
        <f t="array" aca="1" ref="EC20" ca="1">SUM(INDIRECT(ADDRESS(income_min_row,COLUMN())&amp;":"&amp; ADDRESS(income_max_row,COLUMN())))</f>
        <v>0</v>
      </c>
      <c r="ED20" s="17" cm="1">
        <f t="array" aca="1" ref="ED20" ca="1">SUM(INDIRECT(ADDRESS(income_min_row,COLUMN())&amp;":"&amp; ADDRESS(income_max_row,COLUMN())))</f>
        <v>0</v>
      </c>
      <c r="EE20" s="17" cm="1">
        <f t="array" aca="1" ref="EE20" ca="1">SUM(INDIRECT(ADDRESS(income_min_row,COLUMN())&amp;":"&amp; ADDRESS(income_max_row,COLUMN())))</f>
        <v>0</v>
      </c>
      <c r="EF20" s="17" cm="1">
        <f t="array" aca="1" ref="EF20" ca="1">SUM(INDIRECT(ADDRESS(income_min_row,COLUMN())&amp;":"&amp; ADDRESS(income_max_row,COLUMN())))</f>
        <v>0</v>
      </c>
      <c r="EG20" s="17" cm="1">
        <f t="array" aca="1" ref="EG20" ca="1">SUM(INDIRECT(ADDRESS(income_min_row,COLUMN())&amp;":"&amp; ADDRESS(income_max_row,COLUMN())))</f>
        <v>0</v>
      </c>
      <c r="EH20" s="17" cm="1">
        <f t="array" aca="1" ref="EH20" ca="1">SUM(INDIRECT(ADDRESS(income_min_row,COLUMN())&amp;":"&amp; ADDRESS(income_max_row,COLUMN())))</f>
        <v>0</v>
      </c>
      <c r="EI20" s="17" cm="1">
        <f t="array" aca="1" ref="EI20" ca="1">SUM(INDIRECT(ADDRESS(income_min_row,COLUMN())&amp;":"&amp; ADDRESS(income_max_row,COLUMN())))</f>
        <v>0</v>
      </c>
      <c r="EJ20" s="17" cm="1">
        <f t="array" aca="1" ref="EJ20" ca="1">SUM(INDIRECT(ADDRESS(income_min_row,COLUMN())&amp;":"&amp; ADDRESS(income_max_row,COLUMN())))</f>
        <v>0</v>
      </c>
      <c r="EK20" s="17" cm="1">
        <f t="array" aca="1" ref="EK20" ca="1">SUM(INDIRECT(ADDRESS(income_min_row,COLUMN())&amp;":"&amp; ADDRESS(income_max_row,COLUMN())))</f>
        <v>0</v>
      </c>
      <c r="EL20" s="17" cm="1">
        <f t="array" aca="1" ref="EL20" ca="1">SUM(INDIRECT(ADDRESS(income_min_row,COLUMN())&amp;":"&amp; ADDRESS(income_max_row,COLUMN())))</f>
        <v>0</v>
      </c>
      <c r="EM20" s="17" cm="1">
        <f t="array" aca="1" ref="EM20" ca="1">SUM(INDIRECT(ADDRESS(income_min_row,COLUMN())&amp;":"&amp; ADDRESS(income_max_row,COLUMN())))</f>
        <v>0</v>
      </c>
    </row>
    <row r="22" spans="3:143" x14ac:dyDescent="0.3">
      <c r="C22" s="11" t="s">
        <v>10</v>
      </c>
      <c r="E22" s="18">
        <f>DATE(E$5,1,1)</f>
        <v>45658</v>
      </c>
      <c r="F22" s="18">
        <f>DATE(E$5,2,1)</f>
        <v>45689</v>
      </c>
      <c r="G22" s="18">
        <f>DATE(E$5,3,1)</f>
        <v>45717</v>
      </c>
      <c r="H22" s="18">
        <f>DATE(E$5,4,1)</f>
        <v>45748</v>
      </c>
      <c r="I22" s="18">
        <f>DATE(E$5,5,1)</f>
        <v>45778</v>
      </c>
      <c r="J22" s="18">
        <f>DATE(E$5,6,1)</f>
        <v>45809</v>
      </c>
      <c r="K22" s="18">
        <f>DATE(E$5,7,1)</f>
        <v>45839</v>
      </c>
      <c r="L22" s="18">
        <f>DATE(E$5,8,1)</f>
        <v>45870</v>
      </c>
      <c r="M22" s="18">
        <f>DATE(E$5,9,1)</f>
        <v>45901</v>
      </c>
      <c r="N22" s="18">
        <f>DATE(E$5,10,1)</f>
        <v>45931</v>
      </c>
      <c r="O22" s="18">
        <f>DATE(E$5,11,1)</f>
        <v>45962</v>
      </c>
      <c r="P22" s="18">
        <f>DATE(E$5,12,1)</f>
        <v>45992</v>
      </c>
      <c r="Q22" s="19">
        <f>E$5</f>
        <v>2025</v>
      </c>
      <c r="S22" s="18">
        <f>DATE(S$5,1,1)</f>
        <v>46023</v>
      </c>
      <c r="T22" s="18">
        <f>DATE(S$5,2,1)</f>
        <v>46054</v>
      </c>
      <c r="U22" s="18">
        <f>DATE(S$5,3,1)</f>
        <v>46082</v>
      </c>
      <c r="V22" s="18">
        <f>DATE(S$5,4,1)</f>
        <v>46113</v>
      </c>
      <c r="W22" s="18">
        <f>DATE(S$5,5,1)</f>
        <v>46143</v>
      </c>
      <c r="X22" s="18">
        <f>DATE(S$5,6,1)</f>
        <v>46174</v>
      </c>
      <c r="Y22" s="18">
        <f>DATE(S$5,7,1)</f>
        <v>46204</v>
      </c>
      <c r="Z22" s="18">
        <f>DATE(S$5,8,1)</f>
        <v>46235</v>
      </c>
      <c r="AA22" s="18">
        <f>DATE(S$5,9,1)</f>
        <v>46266</v>
      </c>
      <c r="AB22" s="18">
        <f>DATE(S$5,10,1)</f>
        <v>46296</v>
      </c>
      <c r="AC22" s="18">
        <f>DATE(S$5,11,1)</f>
        <v>46327</v>
      </c>
      <c r="AD22" s="18">
        <f>DATE(S$5,12,1)</f>
        <v>46357</v>
      </c>
      <c r="AE22" s="19">
        <f>S$5</f>
        <v>2026</v>
      </c>
      <c r="AG22" s="18">
        <f t="shared" ref="AG22" si="237">DATE(AG$5,1,1)</f>
        <v>46388</v>
      </c>
      <c r="AH22" s="18">
        <f t="shared" ref="AH22" si="238">DATE(AG$5,2,1)</f>
        <v>46419</v>
      </c>
      <c r="AI22" s="18">
        <f t="shared" ref="AI22" si="239">DATE(AG$5,3,1)</f>
        <v>46447</v>
      </c>
      <c r="AJ22" s="18">
        <f t="shared" ref="AJ22" si="240">DATE(AG$5,4,1)</f>
        <v>46478</v>
      </c>
      <c r="AK22" s="18">
        <f t="shared" ref="AK22" si="241">DATE(AG$5,5,1)</f>
        <v>46508</v>
      </c>
      <c r="AL22" s="18">
        <f t="shared" ref="AL22" si="242">DATE(AG$5,6,1)</f>
        <v>46539</v>
      </c>
      <c r="AM22" s="18">
        <f t="shared" ref="AM22" si="243">DATE(AG$5,7,1)</f>
        <v>46569</v>
      </c>
      <c r="AN22" s="18">
        <f t="shared" ref="AN22" si="244">DATE(AG$5,8,1)</f>
        <v>46600</v>
      </c>
      <c r="AO22" s="18">
        <f t="shared" ref="AO22" si="245">DATE(AG$5,9,1)</f>
        <v>46631</v>
      </c>
      <c r="AP22" s="18">
        <f t="shared" ref="AP22" si="246">DATE(AG$5,10,1)</f>
        <v>46661</v>
      </c>
      <c r="AQ22" s="18">
        <f t="shared" ref="AQ22" si="247">DATE(AG$5,11,1)</f>
        <v>46692</v>
      </c>
      <c r="AR22" s="18">
        <f t="shared" ref="AR22" si="248">DATE(AG$5,12,1)</f>
        <v>46722</v>
      </c>
      <c r="AS22" s="19">
        <f t="shared" ref="AS22" si="249">AG$5</f>
        <v>2027</v>
      </c>
      <c r="AU22" s="18">
        <f t="shared" ref="AU22" si="250">DATE(AU$5,1,1)</f>
        <v>46753</v>
      </c>
      <c r="AV22" s="18">
        <f t="shared" ref="AV22" si="251">DATE(AU$5,2,1)</f>
        <v>46784</v>
      </c>
      <c r="AW22" s="18">
        <f t="shared" ref="AW22" si="252">DATE(AU$5,3,1)</f>
        <v>46813</v>
      </c>
      <c r="AX22" s="18">
        <f t="shared" ref="AX22" si="253">DATE(AU$5,4,1)</f>
        <v>46844</v>
      </c>
      <c r="AY22" s="18">
        <f t="shared" ref="AY22" si="254">DATE(AU$5,5,1)</f>
        <v>46874</v>
      </c>
      <c r="AZ22" s="18">
        <f t="shared" ref="AZ22" si="255">DATE(AU$5,6,1)</f>
        <v>46905</v>
      </c>
      <c r="BA22" s="18">
        <f t="shared" ref="BA22" si="256">DATE(AU$5,7,1)</f>
        <v>46935</v>
      </c>
      <c r="BB22" s="18">
        <f t="shared" ref="BB22" si="257">DATE(AU$5,8,1)</f>
        <v>46966</v>
      </c>
      <c r="BC22" s="18">
        <f t="shared" ref="BC22" si="258">DATE(AU$5,9,1)</f>
        <v>46997</v>
      </c>
      <c r="BD22" s="18">
        <f t="shared" ref="BD22" si="259">DATE(AU$5,10,1)</f>
        <v>47027</v>
      </c>
      <c r="BE22" s="18">
        <f t="shared" ref="BE22" si="260">DATE(AU$5,11,1)</f>
        <v>47058</v>
      </c>
      <c r="BF22" s="18">
        <f t="shared" ref="BF22" si="261">DATE(AU$5,12,1)</f>
        <v>47088</v>
      </c>
      <c r="BG22" s="19">
        <f t="shared" ref="BG22" si="262">AU$5</f>
        <v>2028</v>
      </c>
      <c r="BI22" s="18">
        <f t="shared" ref="BI22" si="263">DATE(BI$5,1,1)</f>
        <v>47119</v>
      </c>
      <c r="BJ22" s="18">
        <f t="shared" ref="BJ22" si="264">DATE(BI$5,2,1)</f>
        <v>47150</v>
      </c>
      <c r="BK22" s="18">
        <f t="shared" ref="BK22" si="265">DATE(BI$5,3,1)</f>
        <v>47178</v>
      </c>
      <c r="BL22" s="18">
        <f t="shared" ref="BL22" si="266">DATE(BI$5,4,1)</f>
        <v>47209</v>
      </c>
      <c r="BM22" s="18">
        <f t="shared" ref="BM22" si="267">DATE(BI$5,5,1)</f>
        <v>47239</v>
      </c>
      <c r="BN22" s="18">
        <f t="shared" ref="BN22" si="268">DATE(BI$5,6,1)</f>
        <v>47270</v>
      </c>
      <c r="BO22" s="18">
        <f t="shared" ref="BO22" si="269">DATE(BI$5,7,1)</f>
        <v>47300</v>
      </c>
      <c r="BP22" s="18">
        <f t="shared" ref="BP22" si="270">DATE(BI$5,8,1)</f>
        <v>47331</v>
      </c>
      <c r="BQ22" s="18">
        <f t="shared" ref="BQ22" si="271">DATE(BI$5,9,1)</f>
        <v>47362</v>
      </c>
      <c r="BR22" s="18">
        <f t="shared" ref="BR22" si="272">DATE(BI$5,10,1)</f>
        <v>47392</v>
      </c>
      <c r="BS22" s="18">
        <f t="shared" ref="BS22" si="273">DATE(BI$5,11,1)</f>
        <v>47423</v>
      </c>
      <c r="BT22" s="18">
        <f t="shared" ref="BT22" si="274">DATE(BI$5,12,1)</f>
        <v>47453</v>
      </c>
      <c r="BU22" s="19">
        <f t="shared" ref="BU22" si="275">BI$5</f>
        <v>2029</v>
      </c>
      <c r="BW22" s="18">
        <f t="shared" ref="BW22" si="276">DATE(BW$5,1,1)</f>
        <v>47484</v>
      </c>
      <c r="BX22" s="18">
        <f t="shared" ref="BX22" si="277">DATE(BW$5,2,1)</f>
        <v>47515</v>
      </c>
      <c r="BY22" s="18">
        <f t="shared" ref="BY22" si="278">DATE(BW$5,3,1)</f>
        <v>47543</v>
      </c>
      <c r="BZ22" s="18">
        <f t="shared" ref="BZ22" si="279">DATE(BW$5,4,1)</f>
        <v>47574</v>
      </c>
      <c r="CA22" s="18">
        <f t="shared" ref="CA22" si="280">DATE(BW$5,5,1)</f>
        <v>47604</v>
      </c>
      <c r="CB22" s="18">
        <f t="shared" ref="CB22" si="281">DATE(BW$5,6,1)</f>
        <v>47635</v>
      </c>
      <c r="CC22" s="18">
        <f t="shared" ref="CC22" si="282">DATE(BW$5,7,1)</f>
        <v>47665</v>
      </c>
      <c r="CD22" s="18">
        <f t="shared" ref="CD22" si="283">DATE(BW$5,8,1)</f>
        <v>47696</v>
      </c>
      <c r="CE22" s="18">
        <f t="shared" ref="CE22" si="284">DATE(BW$5,9,1)</f>
        <v>47727</v>
      </c>
      <c r="CF22" s="18">
        <f t="shared" ref="CF22" si="285">DATE(BW$5,10,1)</f>
        <v>47757</v>
      </c>
      <c r="CG22" s="18">
        <f t="shared" ref="CG22" si="286">DATE(BW$5,11,1)</f>
        <v>47788</v>
      </c>
      <c r="CH22" s="18">
        <f t="shared" ref="CH22" si="287">DATE(BW$5,12,1)</f>
        <v>47818</v>
      </c>
      <c r="CI22" s="19">
        <f t="shared" ref="CI22" si="288">BW$5</f>
        <v>2030</v>
      </c>
      <c r="CK22" s="18">
        <f t="shared" ref="CK22" si="289">DATE(CK$5,1,1)</f>
        <v>47849</v>
      </c>
      <c r="CL22" s="18">
        <f t="shared" ref="CL22" si="290">DATE(CK$5,2,1)</f>
        <v>47880</v>
      </c>
      <c r="CM22" s="18">
        <f t="shared" ref="CM22" si="291">DATE(CK$5,3,1)</f>
        <v>47908</v>
      </c>
      <c r="CN22" s="18">
        <f t="shared" ref="CN22" si="292">DATE(CK$5,4,1)</f>
        <v>47939</v>
      </c>
      <c r="CO22" s="18">
        <f t="shared" ref="CO22" si="293">DATE(CK$5,5,1)</f>
        <v>47969</v>
      </c>
      <c r="CP22" s="18">
        <f t="shared" ref="CP22" si="294">DATE(CK$5,6,1)</f>
        <v>48000</v>
      </c>
      <c r="CQ22" s="18">
        <f t="shared" ref="CQ22" si="295">DATE(CK$5,7,1)</f>
        <v>48030</v>
      </c>
      <c r="CR22" s="18">
        <f t="shared" ref="CR22" si="296">DATE(CK$5,8,1)</f>
        <v>48061</v>
      </c>
      <c r="CS22" s="18">
        <f t="shared" ref="CS22" si="297">DATE(CK$5,9,1)</f>
        <v>48092</v>
      </c>
      <c r="CT22" s="18">
        <f t="shared" ref="CT22" si="298">DATE(CK$5,10,1)</f>
        <v>48122</v>
      </c>
      <c r="CU22" s="18">
        <f t="shared" ref="CU22" si="299">DATE(CK$5,11,1)</f>
        <v>48153</v>
      </c>
      <c r="CV22" s="18">
        <f t="shared" ref="CV22" si="300">DATE(CK$5,12,1)</f>
        <v>48183</v>
      </c>
      <c r="CW22" s="19">
        <f t="shared" ref="CW22" si="301">CK$5</f>
        <v>2031</v>
      </c>
      <c r="CY22" s="18">
        <f t="shared" ref="CY22" si="302">DATE(CY$5,1,1)</f>
        <v>48214</v>
      </c>
      <c r="CZ22" s="18">
        <f t="shared" ref="CZ22" si="303">DATE(CY$5,2,1)</f>
        <v>48245</v>
      </c>
      <c r="DA22" s="18">
        <f t="shared" ref="DA22" si="304">DATE(CY$5,3,1)</f>
        <v>48274</v>
      </c>
      <c r="DB22" s="18">
        <f t="shared" ref="DB22" si="305">DATE(CY$5,4,1)</f>
        <v>48305</v>
      </c>
      <c r="DC22" s="18">
        <f t="shared" ref="DC22" si="306">DATE(CY$5,5,1)</f>
        <v>48335</v>
      </c>
      <c r="DD22" s="18">
        <f t="shared" ref="DD22" si="307">DATE(CY$5,6,1)</f>
        <v>48366</v>
      </c>
      <c r="DE22" s="18">
        <f t="shared" ref="DE22" si="308">DATE(CY$5,7,1)</f>
        <v>48396</v>
      </c>
      <c r="DF22" s="18">
        <f t="shared" ref="DF22" si="309">DATE(CY$5,8,1)</f>
        <v>48427</v>
      </c>
      <c r="DG22" s="18">
        <f t="shared" ref="DG22" si="310">DATE(CY$5,9,1)</f>
        <v>48458</v>
      </c>
      <c r="DH22" s="18">
        <f t="shared" ref="DH22" si="311">DATE(CY$5,10,1)</f>
        <v>48488</v>
      </c>
      <c r="DI22" s="18">
        <f t="shared" ref="DI22" si="312">DATE(CY$5,11,1)</f>
        <v>48519</v>
      </c>
      <c r="DJ22" s="18">
        <f t="shared" ref="DJ22" si="313">DATE(CY$5,12,1)</f>
        <v>48549</v>
      </c>
      <c r="DK22" s="19">
        <f t="shared" ref="DK22" si="314">CY$5</f>
        <v>2032</v>
      </c>
      <c r="DM22" s="18">
        <f t="shared" ref="DM22" si="315">DATE(DM$5,1,1)</f>
        <v>48580</v>
      </c>
      <c r="DN22" s="18">
        <f t="shared" ref="DN22" si="316">DATE(DM$5,2,1)</f>
        <v>48611</v>
      </c>
      <c r="DO22" s="18">
        <f t="shared" ref="DO22" si="317">DATE(DM$5,3,1)</f>
        <v>48639</v>
      </c>
      <c r="DP22" s="18">
        <f t="shared" ref="DP22" si="318">DATE(DM$5,4,1)</f>
        <v>48670</v>
      </c>
      <c r="DQ22" s="18">
        <f t="shared" ref="DQ22" si="319">DATE(DM$5,5,1)</f>
        <v>48700</v>
      </c>
      <c r="DR22" s="18">
        <f t="shared" ref="DR22" si="320">DATE(DM$5,6,1)</f>
        <v>48731</v>
      </c>
      <c r="DS22" s="18">
        <f t="shared" ref="DS22" si="321">DATE(DM$5,7,1)</f>
        <v>48761</v>
      </c>
      <c r="DT22" s="18">
        <f t="shared" ref="DT22" si="322">DATE(DM$5,8,1)</f>
        <v>48792</v>
      </c>
      <c r="DU22" s="18">
        <f t="shared" ref="DU22" si="323">DATE(DM$5,9,1)</f>
        <v>48823</v>
      </c>
      <c r="DV22" s="18">
        <f t="shared" ref="DV22" si="324">DATE(DM$5,10,1)</f>
        <v>48853</v>
      </c>
      <c r="DW22" s="18">
        <f t="shared" ref="DW22" si="325">DATE(DM$5,11,1)</f>
        <v>48884</v>
      </c>
      <c r="DX22" s="18">
        <f t="shared" ref="DX22" si="326">DATE(DM$5,12,1)</f>
        <v>48914</v>
      </c>
      <c r="DY22" s="19">
        <f t="shared" ref="DY22" si="327">DM$5</f>
        <v>2033</v>
      </c>
      <c r="EA22" s="18">
        <f t="shared" ref="EA22" si="328">DATE(EA$5,1,1)</f>
        <v>48945</v>
      </c>
      <c r="EB22" s="18">
        <f t="shared" ref="EB22" si="329">DATE(EA$5,2,1)</f>
        <v>48976</v>
      </c>
      <c r="EC22" s="18">
        <f t="shared" ref="EC22" si="330">DATE(EA$5,3,1)</f>
        <v>49004</v>
      </c>
      <c r="ED22" s="18">
        <f t="shared" ref="ED22" si="331">DATE(EA$5,4,1)</f>
        <v>49035</v>
      </c>
      <c r="EE22" s="18">
        <f t="shared" ref="EE22" si="332">DATE(EA$5,5,1)</f>
        <v>49065</v>
      </c>
      <c r="EF22" s="18">
        <f t="shared" ref="EF22" si="333">DATE(EA$5,6,1)</f>
        <v>49096</v>
      </c>
      <c r="EG22" s="18">
        <f t="shared" ref="EG22" si="334">DATE(EA$5,7,1)</f>
        <v>49126</v>
      </c>
      <c r="EH22" s="18">
        <f t="shared" ref="EH22" si="335">DATE(EA$5,8,1)</f>
        <v>49157</v>
      </c>
      <c r="EI22" s="18">
        <f t="shared" ref="EI22" si="336">DATE(EA$5,9,1)</f>
        <v>49188</v>
      </c>
      <c r="EJ22" s="18">
        <f t="shared" ref="EJ22" si="337">DATE(EA$5,10,1)</f>
        <v>49218</v>
      </c>
      <c r="EK22" s="18">
        <f t="shared" ref="EK22" si="338">DATE(EA$5,11,1)</f>
        <v>49249</v>
      </c>
      <c r="EL22" s="18">
        <f t="shared" ref="EL22" si="339">DATE(EA$5,12,1)</f>
        <v>49279</v>
      </c>
      <c r="EM22" s="19">
        <f t="shared" ref="EM22" si="340">EA$5</f>
        <v>2034</v>
      </c>
    </row>
    <row r="23" spans="3:143" x14ac:dyDescent="0.3">
      <c r="C23" s="15" t="s">
        <v>11</v>
      </c>
      <c r="E23" s="16">
        <v>1200</v>
      </c>
      <c r="F23" s="16">
        <v>1200</v>
      </c>
      <c r="G23" s="16">
        <v>1200</v>
      </c>
      <c r="H23" s="16">
        <v>1200</v>
      </c>
      <c r="I23" s="16">
        <v>1200</v>
      </c>
      <c r="J23" s="16">
        <v>1200</v>
      </c>
      <c r="K23" s="16">
        <v>1200</v>
      </c>
      <c r="L23" s="16">
        <v>1200</v>
      </c>
      <c r="M23" s="16">
        <v>1200</v>
      </c>
      <c r="N23" s="16">
        <v>1200</v>
      </c>
      <c r="O23" s="16">
        <v>1200</v>
      </c>
      <c r="P23" s="16">
        <v>1200</v>
      </c>
      <c r="Q23" s="17">
        <f>SUM(E23:P23)</f>
        <v>14400</v>
      </c>
      <c r="S23" s="16"/>
      <c r="T23" s="16"/>
      <c r="U23" s="16"/>
      <c r="V23" s="16"/>
      <c r="W23" s="16"/>
      <c r="X23" s="16"/>
      <c r="Y23" s="16"/>
      <c r="Z23" s="16"/>
      <c r="AA23" s="16"/>
      <c r="AB23" s="16"/>
      <c r="AC23" s="16"/>
      <c r="AD23" s="16"/>
      <c r="AE23" s="17">
        <f>SUM(S23:AD23)</f>
        <v>0</v>
      </c>
      <c r="AG23" s="16"/>
      <c r="AH23" s="16"/>
      <c r="AI23" s="16"/>
      <c r="AJ23" s="16"/>
      <c r="AK23" s="16"/>
      <c r="AL23" s="16"/>
      <c r="AM23" s="16"/>
      <c r="AN23" s="16"/>
      <c r="AO23" s="16"/>
      <c r="AP23" s="16"/>
      <c r="AQ23" s="16"/>
      <c r="AR23" s="16"/>
      <c r="AS23" s="17">
        <f t="shared" ref="AS23" si="341">SUM(AG23:AR23)</f>
        <v>0</v>
      </c>
      <c r="AU23" s="16"/>
      <c r="AV23" s="16"/>
      <c r="AW23" s="16"/>
      <c r="AX23" s="16"/>
      <c r="AY23" s="16"/>
      <c r="AZ23" s="16"/>
      <c r="BA23" s="16"/>
      <c r="BB23" s="16"/>
      <c r="BC23" s="16"/>
      <c r="BD23" s="16"/>
      <c r="BE23" s="16"/>
      <c r="BF23" s="16"/>
      <c r="BG23" s="17">
        <f t="shared" ref="BG23" si="342">SUM(AU23:BF23)</f>
        <v>0</v>
      </c>
      <c r="BI23" s="16"/>
      <c r="BJ23" s="16"/>
      <c r="BK23" s="16"/>
      <c r="BL23" s="16"/>
      <c r="BM23" s="16"/>
      <c r="BN23" s="16"/>
      <c r="BO23" s="16"/>
      <c r="BP23" s="16"/>
      <c r="BQ23" s="16"/>
      <c r="BR23" s="16"/>
      <c r="BS23" s="16"/>
      <c r="BT23" s="16"/>
      <c r="BU23" s="17">
        <f t="shared" ref="BU23" si="343">SUM(BI23:BT23)</f>
        <v>0</v>
      </c>
      <c r="BW23" s="16"/>
      <c r="BX23" s="16"/>
      <c r="BY23" s="16"/>
      <c r="BZ23" s="16"/>
      <c r="CA23" s="16"/>
      <c r="CB23" s="16"/>
      <c r="CC23" s="16"/>
      <c r="CD23" s="16"/>
      <c r="CE23" s="16"/>
      <c r="CF23" s="16"/>
      <c r="CG23" s="16"/>
      <c r="CH23" s="16"/>
      <c r="CI23" s="17">
        <f t="shared" ref="CI23" si="344">SUM(BW23:CH23)</f>
        <v>0</v>
      </c>
      <c r="CK23" s="16"/>
      <c r="CL23" s="16"/>
      <c r="CM23" s="16"/>
      <c r="CN23" s="16"/>
      <c r="CO23" s="16"/>
      <c r="CP23" s="16"/>
      <c r="CQ23" s="16"/>
      <c r="CR23" s="16"/>
      <c r="CS23" s="16"/>
      <c r="CT23" s="16"/>
      <c r="CU23" s="16"/>
      <c r="CV23" s="16"/>
      <c r="CW23" s="17">
        <f t="shared" ref="CW23" si="345">SUM(CK23:CV23)</f>
        <v>0</v>
      </c>
      <c r="CY23" s="16"/>
      <c r="CZ23" s="16"/>
      <c r="DA23" s="16"/>
      <c r="DB23" s="16"/>
      <c r="DC23" s="16"/>
      <c r="DD23" s="16"/>
      <c r="DE23" s="16"/>
      <c r="DF23" s="16"/>
      <c r="DG23" s="16"/>
      <c r="DH23" s="16"/>
      <c r="DI23" s="16"/>
      <c r="DJ23" s="16"/>
      <c r="DK23" s="17">
        <f t="shared" ref="DK23" si="346">SUM(CY23:DJ23)</f>
        <v>0</v>
      </c>
      <c r="DM23" s="16"/>
      <c r="DN23" s="16"/>
      <c r="DO23" s="16"/>
      <c r="DP23" s="16"/>
      <c r="DQ23" s="16"/>
      <c r="DR23" s="16"/>
      <c r="DS23" s="16"/>
      <c r="DT23" s="16"/>
      <c r="DU23" s="16"/>
      <c r="DV23" s="16"/>
      <c r="DW23" s="16"/>
      <c r="DX23" s="16"/>
      <c r="DY23" s="17">
        <f t="shared" ref="DY23" si="347">SUM(DM23:DX23)</f>
        <v>0</v>
      </c>
      <c r="EA23" s="16"/>
      <c r="EB23" s="16"/>
      <c r="EC23" s="16"/>
      <c r="ED23" s="16"/>
      <c r="EE23" s="16"/>
      <c r="EF23" s="16"/>
      <c r="EG23" s="16"/>
      <c r="EH23" s="16"/>
      <c r="EI23" s="16"/>
      <c r="EJ23" s="16"/>
      <c r="EK23" s="16"/>
      <c r="EL23" s="16"/>
      <c r="EM23" s="17">
        <f t="shared" ref="EM23" si="348">SUM(EA23:EL23)</f>
        <v>0</v>
      </c>
    </row>
    <row r="24" spans="3:143" x14ac:dyDescent="0.3">
      <c r="C24" s="15" t="s">
        <v>13</v>
      </c>
      <c r="E24" s="16">
        <v>300</v>
      </c>
      <c r="F24" s="16">
        <v>300</v>
      </c>
      <c r="G24" s="16">
        <v>300</v>
      </c>
      <c r="H24" s="16">
        <v>300</v>
      </c>
      <c r="I24" s="16">
        <v>300</v>
      </c>
      <c r="J24" s="16">
        <v>300</v>
      </c>
      <c r="K24" s="16">
        <v>300</v>
      </c>
      <c r="L24" s="16">
        <v>300</v>
      </c>
      <c r="M24" s="16">
        <v>300</v>
      </c>
      <c r="N24" s="16">
        <v>300</v>
      </c>
      <c r="O24" s="16">
        <v>300</v>
      </c>
      <c r="P24" s="16">
        <v>300</v>
      </c>
      <c r="Q24" s="17">
        <f t="shared" ref="Q24:Q26" si="349">SUM(E24:P24)</f>
        <v>3600</v>
      </c>
      <c r="S24" s="16"/>
      <c r="T24" s="16"/>
      <c r="U24" s="16"/>
      <c r="V24" s="16"/>
      <c r="W24" s="16"/>
      <c r="X24" s="16"/>
      <c r="Y24" s="16"/>
      <c r="Z24" s="16"/>
      <c r="AA24" s="16"/>
      <c r="AB24" s="16"/>
      <c r="AC24" s="16"/>
      <c r="AD24" s="16"/>
      <c r="AE24" s="17">
        <f t="shared" ref="AE24:AE26" si="350">SUM(S24:AD24)</f>
        <v>0</v>
      </c>
      <c r="AG24" s="16"/>
      <c r="AH24" s="16"/>
      <c r="AI24" s="16"/>
      <c r="AJ24" s="16"/>
      <c r="AK24" s="16"/>
      <c r="AL24" s="16"/>
      <c r="AM24" s="16"/>
      <c r="AN24" s="16"/>
      <c r="AO24" s="16"/>
      <c r="AP24" s="16"/>
      <c r="AQ24" s="16"/>
      <c r="AR24" s="16"/>
      <c r="AS24" s="17">
        <f t="shared" ref="AS24:AS35" si="351">SUM(AG24:AR24)</f>
        <v>0</v>
      </c>
      <c r="AU24" s="16"/>
      <c r="AV24" s="16"/>
      <c r="AW24" s="16"/>
      <c r="AX24" s="16"/>
      <c r="AY24" s="16"/>
      <c r="AZ24" s="16"/>
      <c r="BA24" s="16"/>
      <c r="BB24" s="16"/>
      <c r="BC24" s="16"/>
      <c r="BD24" s="16"/>
      <c r="BE24" s="16"/>
      <c r="BF24" s="16"/>
      <c r="BG24" s="17">
        <f t="shared" ref="BG24:BG35" si="352">SUM(AU24:BF24)</f>
        <v>0</v>
      </c>
      <c r="BI24" s="16"/>
      <c r="BJ24" s="16"/>
      <c r="BK24" s="16"/>
      <c r="BL24" s="16"/>
      <c r="BM24" s="16"/>
      <c r="BN24" s="16"/>
      <c r="BO24" s="16"/>
      <c r="BP24" s="16"/>
      <c r="BQ24" s="16"/>
      <c r="BR24" s="16"/>
      <c r="BS24" s="16"/>
      <c r="BT24" s="16"/>
      <c r="BU24" s="17">
        <f t="shared" ref="BU24:BU35" si="353">SUM(BI24:BT24)</f>
        <v>0</v>
      </c>
      <c r="BW24" s="16"/>
      <c r="BX24" s="16"/>
      <c r="BY24" s="16"/>
      <c r="BZ24" s="16"/>
      <c r="CA24" s="16"/>
      <c r="CB24" s="16"/>
      <c r="CC24" s="16"/>
      <c r="CD24" s="16"/>
      <c r="CE24" s="16"/>
      <c r="CF24" s="16"/>
      <c r="CG24" s="16"/>
      <c r="CH24" s="16"/>
      <c r="CI24" s="17">
        <f t="shared" ref="CI24:CI35" si="354">SUM(BW24:CH24)</f>
        <v>0</v>
      </c>
      <c r="CK24" s="16"/>
      <c r="CL24" s="16"/>
      <c r="CM24" s="16"/>
      <c r="CN24" s="16"/>
      <c r="CO24" s="16"/>
      <c r="CP24" s="16"/>
      <c r="CQ24" s="16"/>
      <c r="CR24" s="16"/>
      <c r="CS24" s="16"/>
      <c r="CT24" s="16"/>
      <c r="CU24" s="16"/>
      <c r="CV24" s="16"/>
      <c r="CW24" s="17">
        <f t="shared" ref="CW24:CW35" si="355">SUM(CK24:CV24)</f>
        <v>0</v>
      </c>
      <c r="CY24" s="16"/>
      <c r="CZ24" s="16"/>
      <c r="DA24" s="16"/>
      <c r="DB24" s="16"/>
      <c r="DC24" s="16"/>
      <c r="DD24" s="16"/>
      <c r="DE24" s="16"/>
      <c r="DF24" s="16"/>
      <c r="DG24" s="16"/>
      <c r="DH24" s="16"/>
      <c r="DI24" s="16"/>
      <c r="DJ24" s="16"/>
      <c r="DK24" s="17">
        <f t="shared" ref="DK24:DK35" si="356">SUM(CY24:DJ24)</f>
        <v>0</v>
      </c>
      <c r="DM24" s="16"/>
      <c r="DN24" s="16"/>
      <c r="DO24" s="16"/>
      <c r="DP24" s="16"/>
      <c r="DQ24" s="16"/>
      <c r="DR24" s="16"/>
      <c r="DS24" s="16"/>
      <c r="DT24" s="16"/>
      <c r="DU24" s="16"/>
      <c r="DV24" s="16"/>
      <c r="DW24" s="16"/>
      <c r="DX24" s="16"/>
      <c r="DY24" s="17">
        <f t="shared" ref="DY24:DY35" si="357">SUM(DM24:DX24)</f>
        <v>0</v>
      </c>
      <c r="EA24" s="16"/>
      <c r="EB24" s="16"/>
      <c r="EC24" s="16"/>
      <c r="ED24" s="16"/>
      <c r="EE24" s="16"/>
      <c r="EF24" s="16"/>
      <c r="EG24" s="16"/>
      <c r="EH24" s="16"/>
      <c r="EI24" s="16"/>
      <c r="EJ24" s="16"/>
      <c r="EK24" s="16"/>
      <c r="EL24" s="16"/>
      <c r="EM24" s="17">
        <f t="shared" ref="EM24:EM35" si="358">SUM(EA24:EL24)</f>
        <v>0</v>
      </c>
    </row>
    <row r="25" spans="3:143" x14ac:dyDescent="0.3">
      <c r="C25" s="15" t="s">
        <v>12</v>
      </c>
      <c r="E25" s="16">
        <v>350</v>
      </c>
      <c r="F25" s="16">
        <v>350</v>
      </c>
      <c r="G25" s="16">
        <v>350</v>
      </c>
      <c r="H25" s="16">
        <v>350</v>
      </c>
      <c r="I25" s="16">
        <v>350</v>
      </c>
      <c r="J25" s="16">
        <v>350</v>
      </c>
      <c r="K25" s="16">
        <v>350</v>
      </c>
      <c r="L25" s="16">
        <v>350</v>
      </c>
      <c r="M25" s="16">
        <v>350</v>
      </c>
      <c r="N25" s="16">
        <v>350</v>
      </c>
      <c r="O25" s="16">
        <v>350</v>
      </c>
      <c r="P25" s="16">
        <v>350</v>
      </c>
      <c r="Q25" s="17">
        <f t="shared" si="349"/>
        <v>4200</v>
      </c>
      <c r="S25" s="16"/>
      <c r="T25" s="16"/>
      <c r="U25" s="16"/>
      <c r="V25" s="16"/>
      <c r="W25" s="16"/>
      <c r="X25" s="16"/>
      <c r="Y25" s="16"/>
      <c r="Z25" s="16"/>
      <c r="AA25" s="16"/>
      <c r="AB25" s="16"/>
      <c r="AC25" s="16"/>
      <c r="AD25" s="16"/>
      <c r="AE25" s="17">
        <f t="shared" si="350"/>
        <v>0</v>
      </c>
      <c r="AG25" s="16"/>
      <c r="AH25" s="16"/>
      <c r="AI25" s="16"/>
      <c r="AJ25" s="16"/>
      <c r="AK25" s="16"/>
      <c r="AL25" s="16"/>
      <c r="AM25" s="16"/>
      <c r="AN25" s="16"/>
      <c r="AO25" s="16"/>
      <c r="AP25" s="16"/>
      <c r="AQ25" s="16"/>
      <c r="AR25" s="16"/>
      <c r="AS25" s="17">
        <f t="shared" si="351"/>
        <v>0</v>
      </c>
      <c r="AU25" s="16"/>
      <c r="AV25" s="16"/>
      <c r="AW25" s="16"/>
      <c r="AX25" s="16"/>
      <c r="AY25" s="16"/>
      <c r="AZ25" s="16"/>
      <c r="BA25" s="16"/>
      <c r="BB25" s="16"/>
      <c r="BC25" s="16"/>
      <c r="BD25" s="16"/>
      <c r="BE25" s="16"/>
      <c r="BF25" s="16"/>
      <c r="BG25" s="17">
        <f t="shared" si="352"/>
        <v>0</v>
      </c>
      <c r="BI25" s="16"/>
      <c r="BJ25" s="16"/>
      <c r="BK25" s="16"/>
      <c r="BL25" s="16"/>
      <c r="BM25" s="16"/>
      <c r="BN25" s="16"/>
      <c r="BO25" s="16"/>
      <c r="BP25" s="16"/>
      <c r="BQ25" s="16"/>
      <c r="BR25" s="16"/>
      <c r="BS25" s="16"/>
      <c r="BT25" s="16"/>
      <c r="BU25" s="17">
        <f t="shared" si="353"/>
        <v>0</v>
      </c>
      <c r="BW25" s="16"/>
      <c r="BX25" s="16"/>
      <c r="BY25" s="16"/>
      <c r="BZ25" s="16"/>
      <c r="CA25" s="16"/>
      <c r="CB25" s="16"/>
      <c r="CC25" s="16"/>
      <c r="CD25" s="16"/>
      <c r="CE25" s="16"/>
      <c r="CF25" s="16"/>
      <c r="CG25" s="16"/>
      <c r="CH25" s="16"/>
      <c r="CI25" s="17">
        <f t="shared" si="354"/>
        <v>0</v>
      </c>
      <c r="CK25" s="16"/>
      <c r="CL25" s="16"/>
      <c r="CM25" s="16"/>
      <c r="CN25" s="16"/>
      <c r="CO25" s="16"/>
      <c r="CP25" s="16"/>
      <c r="CQ25" s="16"/>
      <c r="CR25" s="16"/>
      <c r="CS25" s="16"/>
      <c r="CT25" s="16"/>
      <c r="CU25" s="16"/>
      <c r="CV25" s="16"/>
      <c r="CW25" s="17">
        <f t="shared" si="355"/>
        <v>0</v>
      </c>
      <c r="CY25" s="16"/>
      <c r="CZ25" s="16"/>
      <c r="DA25" s="16"/>
      <c r="DB25" s="16"/>
      <c r="DC25" s="16"/>
      <c r="DD25" s="16"/>
      <c r="DE25" s="16"/>
      <c r="DF25" s="16"/>
      <c r="DG25" s="16"/>
      <c r="DH25" s="16"/>
      <c r="DI25" s="16"/>
      <c r="DJ25" s="16"/>
      <c r="DK25" s="17">
        <f t="shared" si="356"/>
        <v>0</v>
      </c>
      <c r="DM25" s="16"/>
      <c r="DN25" s="16"/>
      <c r="DO25" s="16"/>
      <c r="DP25" s="16"/>
      <c r="DQ25" s="16"/>
      <c r="DR25" s="16"/>
      <c r="DS25" s="16"/>
      <c r="DT25" s="16"/>
      <c r="DU25" s="16"/>
      <c r="DV25" s="16"/>
      <c r="DW25" s="16"/>
      <c r="DX25" s="16"/>
      <c r="DY25" s="17">
        <f t="shared" si="357"/>
        <v>0</v>
      </c>
      <c r="EA25" s="16"/>
      <c r="EB25" s="16"/>
      <c r="EC25" s="16"/>
      <c r="ED25" s="16"/>
      <c r="EE25" s="16"/>
      <c r="EF25" s="16"/>
      <c r="EG25" s="16"/>
      <c r="EH25" s="16"/>
      <c r="EI25" s="16"/>
      <c r="EJ25" s="16"/>
      <c r="EK25" s="16"/>
      <c r="EL25" s="16"/>
      <c r="EM25" s="17">
        <f t="shared" si="358"/>
        <v>0</v>
      </c>
    </row>
    <row r="26" spans="3:143" x14ac:dyDescent="0.3">
      <c r="C26" s="15" t="s">
        <v>21</v>
      </c>
      <c r="E26" s="16">
        <v>300</v>
      </c>
      <c r="F26" s="16">
        <v>300</v>
      </c>
      <c r="G26" s="16">
        <v>300</v>
      </c>
      <c r="H26" s="16">
        <v>300</v>
      </c>
      <c r="I26" s="16">
        <v>300</v>
      </c>
      <c r="J26" s="16">
        <v>300</v>
      </c>
      <c r="K26" s="16">
        <v>300</v>
      </c>
      <c r="L26" s="16">
        <v>300</v>
      </c>
      <c r="M26" s="16">
        <v>300</v>
      </c>
      <c r="N26" s="16">
        <v>300</v>
      </c>
      <c r="O26" s="16">
        <v>300</v>
      </c>
      <c r="P26" s="16">
        <v>300</v>
      </c>
      <c r="Q26" s="17">
        <f t="shared" si="349"/>
        <v>3600</v>
      </c>
      <c r="S26" s="16"/>
      <c r="T26" s="16"/>
      <c r="U26" s="16"/>
      <c r="V26" s="16"/>
      <c r="W26" s="16"/>
      <c r="X26" s="16"/>
      <c r="Y26" s="16"/>
      <c r="Z26" s="16"/>
      <c r="AA26" s="16"/>
      <c r="AB26" s="16"/>
      <c r="AC26" s="16"/>
      <c r="AD26" s="16"/>
      <c r="AE26" s="17">
        <f t="shared" si="350"/>
        <v>0</v>
      </c>
      <c r="AG26" s="16"/>
      <c r="AH26" s="16"/>
      <c r="AI26" s="16"/>
      <c r="AJ26" s="16"/>
      <c r="AK26" s="16"/>
      <c r="AL26" s="16"/>
      <c r="AM26" s="16"/>
      <c r="AN26" s="16"/>
      <c r="AO26" s="16"/>
      <c r="AP26" s="16"/>
      <c r="AQ26" s="16"/>
      <c r="AR26" s="16"/>
      <c r="AS26" s="17">
        <f t="shared" si="351"/>
        <v>0</v>
      </c>
      <c r="AU26" s="16"/>
      <c r="AV26" s="16"/>
      <c r="AW26" s="16"/>
      <c r="AX26" s="16"/>
      <c r="AY26" s="16"/>
      <c r="AZ26" s="16"/>
      <c r="BA26" s="16"/>
      <c r="BB26" s="16"/>
      <c r="BC26" s="16"/>
      <c r="BD26" s="16"/>
      <c r="BE26" s="16"/>
      <c r="BF26" s="16"/>
      <c r="BG26" s="17">
        <f t="shared" si="352"/>
        <v>0</v>
      </c>
      <c r="BI26" s="16"/>
      <c r="BJ26" s="16"/>
      <c r="BK26" s="16"/>
      <c r="BL26" s="16"/>
      <c r="BM26" s="16"/>
      <c r="BN26" s="16"/>
      <c r="BO26" s="16"/>
      <c r="BP26" s="16"/>
      <c r="BQ26" s="16"/>
      <c r="BR26" s="16"/>
      <c r="BS26" s="16"/>
      <c r="BT26" s="16"/>
      <c r="BU26" s="17">
        <f t="shared" si="353"/>
        <v>0</v>
      </c>
      <c r="BW26" s="16"/>
      <c r="BX26" s="16"/>
      <c r="BY26" s="16"/>
      <c r="BZ26" s="16"/>
      <c r="CA26" s="16"/>
      <c r="CB26" s="16"/>
      <c r="CC26" s="16"/>
      <c r="CD26" s="16"/>
      <c r="CE26" s="16"/>
      <c r="CF26" s="16"/>
      <c r="CG26" s="16"/>
      <c r="CH26" s="16"/>
      <c r="CI26" s="17">
        <f t="shared" si="354"/>
        <v>0</v>
      </c>
      <c r="CK26" s="16"/>
      <c r="CL26" s="16"/>
      <c r="CM26" s="16"/>
      <c r="CN26" s="16"/>
      <c r="CO26" s="16"/>
      <c r="CP26" s="16"/>
      <c r="CQ26" s="16"/>
      <c r="CR26" s="16"/>
      <c r="CS26" s="16"/>
      <c r="CT26" s="16"/>
      <c r="CU26" s="16"/>
      <c r="CV26" s="16"/>
      <c r="CW26" s="17">
        <f t="shared" si="355"/>
        <v>0</v>
      </c>
      <c r="CY26" s="16"/>
      <c r="CZ26" s="16"/>
      <c r="DA26" s="16"/>
      <c r="DB26" s="16"/>
      <c r="DC26" s="16"/>
      <c r="DD26" s="16"/>
      <c r="DE26" s="16"/>
      <c r="DF26" s="16"/>
      <c r="DG26" s="16"/>
      <c r="DH26" s="16"/>
      <c r="DI26" s="16"/>
      <c r="DJ26" s="16"/>
      <c r="DK26" s="17">
        <f t="shared" si="356"/>
        <v>0</v>
      </c>
      <c r="DM26" s="16"/>
      <c r="DN26" s="16"/>
      <c r="DO26" s="16"/>
      <c r="DP26" s="16"/>
      <c r="DQ26" s="16"/>
      <c r="DR26" s="16"/>
      <c r="DS26" s="16"/>
      <c r="DT26" s="16"/>
      <c r="DU26" s="16"/>
      <c r="DV26" s="16"/>
      <c r="DW26" s="16"/>
      <c r="DX26" s="16"/>
      <c r="DY26" s="17">
        <f t="shared" si="357"/>
        <v>0</v>
      </c>
      <c r="EA26" s="16"/>
      <c r="EB26" s="16"/>
      <c r="EC26" s="16"/>
      <c r="ED26" s="16"/>
      <c r="EE26" s="16"/>
      <c r="EF26" s="16"/>
      <c r="EG26" s="16"/>
      <c r="EH26" s="16"/>
      <c r="EI26" s="16"/>
      <c r="EJ26" s="16"/>
      <c r="EK26" s="16"/>
      <c r="EL26" s="16"/>
      <c r="EM26" s="17">
        <f t="shared" si="358"/>
        <v>0</v>
      </c>
    </row>
    <row r="27" spans="3:143" x14ac:dyDescent="0.3">
      <c r="C27" s="15" t="s">
        <v>22</v>
      </c>
      <c r="E27" s="16">
        <v>0</v>
      </c>
      <c r="F27" s="16">
        <v>0</v>
      </c>
      <c r="G27" s="16">
        <v>150</v>
      </c>
      <c r="H27" s="16">
        <v>0</v>
      </c>
      <c r="I27" s="16">
        <v>0</v>
      </c>
      <c r="J27" s="16">
        <v>150</v>
      </c>
      <c r="K27" s="16">
        <v>0</v>
      </c>
      <c r="L27" s="16">
        <v>0</v>
      </c>
      <c r="M27" s="16">
        <v>150</v>
      </c>
      <c r="N27" s="16">
        <v>0</v>
      </c>
      <c r="O27" s="16">
        <v>0</v>
      </c>
      <c r="P27" s="16">
        <v>150</v>
      </c>
      <c r="Q27" s="17">
        <f t="shared" ref="Q27:Q29" si="359">SUM(E27:P27)</f>
        <v>600</v>
      </c>
      <c r="S27" s="16"/>
      <c r="T27" s="16"/>
      <c r="U27" s="16"/>
      <c r="V27" s="16"/>
      <c r="W27" s="16"/>
      <c r="X27" s="16"/>
      <c r="Y27" s="16"/>
      <c r="Z27" s="16"/>
      <c r="AA27" s="16"/>
      <c r="AB27" s="16"/>
      <c r="AC27" s="16"/>
      <c r="AD27" s="16"/>
      <c r="AE27" s="17">
        <f t="shared" ref="AE27:AE29" si="360">SUM(S27:AD27)</f>
        <v>0</v>
      </c>
      <c r="AG27" s="16"/>
      <c r="AH27" s="16"/>
      <c r="AI27" s="16"/>
      <c r="AJ27" s="16"/>
      <c r="AK27" s="16"/>
      <c r="AL27" s="16"/>
      <c r="AM27" s="16"/>
      <c r="AN27" s="16"/>
      <c r="AO27" s="16"/>
      <c r="AP27" s="16"/>
      <c r="AQ27" s="16"/>
      <c r="AR27" s="16"/>
      <c r="AS27" s="17">
        <f t="shared" ref="AS27:AS29" si="361">SUM(AG27:AR27)</f>
        <v>0</v>
      </c>
      <c r="AU27" s="16"/>
      <c r="AV27" s="16"/>
      <c r="AW27" s="16"/>
      <c r="AX27" s="16"/>
      <c r="AY27" s="16"/>
      <c r="AZ27" s="16"/>
      <c r="BA27" s="16"/>
      <c r="BB27" s="16"/>
      <c r="BC27" s="16"/>
      <c r="BD27" s="16"/>
      <c r="BE27" s="16"/>
      <c r="BF27" s="16"/>
      <c r="BG27" s="17">
        <f t="shared" ref="BG27:BG29" si="362">SUM(AU27:BF27)</f>
        <v>0</v>
      </c>
      <c r="BI27" s="16"/>
      <c r="BJ27" s="16"/>
      <c r="BK27" s="16"/>
      <c r="BL27" s="16"/>
      <c r="BM27" s="16"/>
      <c r="BN27" s="16"/>
      <c r="BO27" s="16"/>
      <c r="BP27" s="16"/>
      <c r="BQ27" s="16"/>
      <c r="BR27" s="16"/>
      <c r="BS27" s="16"/>
      <c r="BT27" s="16"/>
      <c r="BU27" s="17">
        <f t="shared" ref="BU27:BU29" si="363">SUM(BI27:BT27)</f>
        <v>0</v>
      </c>
      <c r="BW27" s="16"/>
      <c r="BX27" s="16"/>
      <c r="BY27" s="16"/>
      <c r="BZ27" s="16"/>
      <c r="CA27" s="16"/>
      <c r="CB27" s="16"/>
      <c r="CC27" s="16"/>
      <c r="CD27" s="16"/>
      <c r="CE27" s="16"/>
      <c r="CF27" s="16"/>
      <c r="CG27" s="16"/>
      <c r="CH27" s="16"/>
      <c r="CI27" s="17">
        <f t="shared" ref="CI27:CI29" si="364">SUM(BW27:CH27)</f>
        <v>0</v>
      </c>
      <c r="CK27" s="16"/>
      <c r="CL27" s="16"/>
      <c r="CM27" s="16"/>
      <c r="CN27" s="16"/>
      <c r="CO27" s="16"/>
      <c r="CP27" s="16"/>
      <c r="CQ27" s="16"/>
      <c r="CR27" s="16"/>
      <c r="CS27" s="16"/>
      <c r="CT27" s="16"/>
      <c r="CU27" s="16"/>
      <c r="CV27" s="16"/>
      <c r="CW27" s="17">
        <f t="shared" ref="CW27:CW29" si="365">SUM(CK27:CV27)</f>
        <v>0</v>
      </c>
      <c r="CY27" s="16"/>
      <c r="CZ27" s="16"/>
      <c r="DA27" s="16"/>
      <c r="DB27" s="16"/>
      <c r="DC27" s="16"/>
      <c r="DD27" s="16"/>
      <c r="DE27" s="16"/>
      <c r="DF27" s="16"/>
      <c r="DG27" s="16"/>
      <c r="DH27" s="16"/>
      <c r="DI27" s="16"/>
      <c r="DJ27" s="16"/>
      <c r="DK27" s="17">
        <f t="shared" ref="DK27:DK29" si="366">SUM(CY27:DJ27)</f>
        <v>0</v>
      </c>
      <c r="DM27" s="16"/>
      <c r="DN27" s="16"/>
      <c r="DO27" s="16"/>
      <c r="DP27" s="16"/>
      <c r="DQ27" s="16"/>
      <c r="DR27" s="16"/>
      <c r="DS27" s="16"/>
      <c r="DT27" s="16"/>
      <c r="DU27" s="16"/>
      <c r="DV27" s="16"/>
      <c r="DW27" s="16"/>
      <c r="DX27" s="16"/>
      <c r="DY27" s="17">
        <f t="shared" ref="DY27:DY29" si="367">SUM(DM27:DX27)</f>
        <v>0</v>
      </c>
      <c r="EA27" s="16"/>
      <c r="EB27" s="16"/>
      <c r="EC27" s="16"/>
      <c r="ED27" s="16"/>
      <c r="EE27" s="16"/>
      <c r="EF27" s="16"/>
      <c r="EG27" s="16"/>
      <c r="EH27" s="16"/>
      <c r="EI27" s="16"/>
      <c r="EJ27" s="16"/>
      <c r="EK27" s="16"/>
      <c r="EL27" s="16"/>
      <c r="EM27" s="17">
        <f t="shared" ref="EM27:EM29" si="368">SUM(EA27:EL27)</f>
        <v>0</v>
      </c>
    </row>
    <row r="28" spans="3:143" x14ac:dyDescent="0.3">
      <c r="C28" s="15" t="s">
        <v>23</v>
      </c>
      <c r="E28" s="16">
        <v>200</v>
      </c>
      <c r="F28" s="16">
        <v>200</v>
      </c>
      <c r="G28" s="16">
        <v>200</v>
      </c>
      <c r="H28" s="16">
        <v>200</v>
      </c>
      <c r="I28" s="16">
        <v>200</v>
      </c>
      <c r="J28" s="16">
        <v>200</v>
      </c>
      <c r="K28" s="16">
        <v>200</v>
      </c>
      <c r="L28" s="16">
        <v>200</v>
      </c>
      <c r="M28" s="16">
        <v>200</v>
      </c>
      <c r="N28" s="16">
        <v>200</v>
      </c>
      <c r="O28" s="16">
        <v>200</v>
      </c>
      <c r="P28" s="16">
        <v>200</v>
      </c>
      <c r="Q28" s="17">
        <f t="shared" si="359"/>
        <v>2400</v>
      </c>
      <c r="S28" s="16"/>
      <c r="T28" s="16"/>
      <c r="U28" s="16"/>
      <c r="V28" s="16"/>
      <c r="W28" s="16"/>
      <c r="X28" s="16"/>
      <c r="Y28" s="16"/>
      <c r="Z28" s="16"/>
      <c r="AA28" s="16"/>
      <c r="AB28" s="16"/>
      <c r="AC28" s="16"/>
      <c r="AD28" s="16"/>
      <c r="AE28" s="17">
        <f t="shared" si="360"/>
        <v>0</v>
      </c>
      <c r="AG28" s="16"/>
      <c r="AH28" s="16"/>
      <c r="AI28" s="16"/>
      <c r="AJ28" s="16"/>
      <c r="AK28" s="16"/>
      <c r="AL28" s="16"/>
      <c r="AM28" s="16"/>
      <c r="AN28" s="16"/>
      <c r="AO28" s="16"/>
      <c r="AP28" s="16"/>
      <c r="AQ28" s="16"/>
      <c r="AR28" s="16"/>
      <c r="AS28" s="17">
        <f t="shared" si="361"/>
        <v>0</v>
      </c>
      <c r="AU28" s="16"/>
      <c r="AV28" s="16"/>
      <c r="AW28" s="16"/>
      <c r="AX28" s="16"/>
      <c r="AY28" s="16"/>
      <c r="AZ28" s="16"/>
      <c r="BA28" s="16"/>
      <c r="BB28" s="16"/>
      <c r="BC28" s="16"/>
      <c r="BD28" s="16"/>
      <c r="BE28" s="16"/>
      <c r="BF28" s="16"/>
      <c r="BG28" s="17">
        <f t="shared" si="362"/>
        <v>0</v>
      </c>
      <c r="BI28" s="16"/>
      <c r="BJ28" s="16"/>
      <c r="BK28" s="16"/>
      <c r="BL28" s="16"/>
      <c r="BM28" s="16"/>
      <c r="BN28" s="16"/>
      <c r="BO28" s="16"/>
      <c r="BP28" s="16"/>
      <c r="BQ28" s="16"/>
      <c r="BR28" s="16"/>
      <c r="BS28" s="16"/>
      <c r="BT28" s="16"/>
      <c r="BU28" s="17">
        <f t="shared" si="363"/>
        <v>0</v>
      </c>
      <c r="BW28" s="16"/>
      <c r="BX28" s="16"/>
      <c r="BY28" s="16"/>
      <c r="BZ28" s="16"/>
      <c r="CA28" s="16"/>
      <c r="CB28" s="16"/>
      <c r="CC28" s="16"/>
      <c r="CD28" s="16"/>
      <c r="CE28" s="16"/>
      <c r="CF28" s="16"/>
      <c r="CG28" s="16"/>
      <c r="CH28" s="16"/>
      <c r="CI28" s="17">
        <f t="shared" si="364"/>
        <v>0</v>
      </c>
      <c r="CK28" s="16"/>
      <c r="CL28" s="16"/>
      <c r="CM28" s="16"/>
      <c r="CN28" s="16"/>
      <c r="CO28" s="16"/>
      <c r="CP28" s="16"/>
      <c r="CQ28" s="16"/>
      <c r="CR28" s="16"/>
      <c r="CS28" s="16"/>
      <c r="CT28" s="16"/>
      <c r="CU28" s="16"/>
      <c r="CV28" s="16"/>
      <c r="CW28" s="17">
        <f t="shared" si="365"/>
        <v>0</v>
      </c>
      <c r="CY28" s="16"/>
      <c r="CZ28" s="16"/>
      <c r="DA28" s="16"/>
      <c r="DB28" s="16"/>
      <c r="DC28" s="16"/>
      <c r="DD28" s="16"/>
      <c r="DE28" s="16"/>
      <c r="DF28" s="16"/>
      <c r="DG28" s="16"/>
      <c r="DH28" s="16"/>
      <c r="DI28" s="16"/>
      <c r="DJ28" s="16"/>
      <c r="DK28" s="17">
        <f t="shared" si="366"/>
        <v>0</v>
      </c>
      <c r="DM28" s="16"/>
      <c r="DN28" s="16"/>
      <c r="DO28" s="16"/>
      <c r="DP28" s="16"/>
      <c r="DQ28" s="16"/>
      <c r="DR28" s="16"/>
      <c r="DS28" s="16"/>
      <c r="DT28" s="16"/>
      <c r="DU28" s="16"/>
      <c r="DV28" s="16"/>
      <c r="DW28" s="16"/>
      <c r="DX28" s="16"/>
      <c r="DY28" s="17">
        <f t="shared" si="367"/>
        <v>0</v>
      </c>
      <c r="EA28" s="16"/>
      <c r="EB28" s="16"/>
      <c r="EC28" s="16"/>
      <c r="ED28" s="16"/>
      <c r="EE28" s="16"/>
      <c r="EF28" s="16"/>
      <c r="EG28" s="16"/>
      <c r="EH28" s="16"/>
      <c r="EI28" s="16"/>
      <c r="EJ28" s="16"/>
      <c r="EK28" s="16"/>
      <c r="EL28" s="16"/>
      <c r="EM28" s="17">
        <f t="shared" si="368"/>
        <v>0</v>
      </c>
    </row>
    <row r="29" spans="3:143" x14ac:dyDescent="0.3">
      <c r="C29" s="15" t="s">
        <v>24</v>
      </c>
      <c r="E29" s="16">
        <v>200</v>
      </c>
      <c r="F29" s="16">
        <v>200</v>
      </c>
      <c r="G29" s="16">
        <v>200</v>
      </c>
      <c r="H29" s="16">
        <v>200</v>
      </c>
      <c r="I29" s="16">
        <v>200</v>
      </c>
      <c r="J29" s="16">
        <v>200</v>
      </c>
      <c r="K29" s="16">
        <v>200</v>
      </c>
      <c r="L29" s="16">
        <v>200</v>
      </c>
      <c r="M29" s="16">
        <v>200</v>
      </c>
      <c r="N29" s="16">
        <v>200</v>
      </c>
      <c r="O29" s="16">
        <v>200</v>
      </c>
      <c r="P29" s="16">
        <v>200</v>
      </c>
      <c r="Q29" s="17">
        <f t="shared" si="359"/>
        <v>2400</v>
      </c>
      <c r="S29" s="16"/>
      <c r="T29" s="16"/>
      <c r="U29" s="16"/>
      <c r="V29" s="16"/>
      <c r="W29" s="16"/>
      <c r="X29" s="16"/>
      <c r="Y29" s="16"/>
      <c r="Z29" s="16"/>
      <c r="AA29" s="16"/>
      <c r="AB29" s="16"/>
      <c r="AC29" s="16"/>
      <c r="AD29" s="16"/>
      <c r="AE29" s="17">
        <f t="shared" si="360"/>
        <v>0</v>
      </c>
      <c r="AG29" s="16"/>
      <c r="AH29" s="16"/>
      <c r="AI29" s="16"/>
      <c r="AJ29" s="16"/>
      <c r="AK29" s="16"/>
      <c r="AL29" s="16"/>
      <c r="AM29" s="16"/>
      <c r="AN29" s="16"/>
      <c r="AO29" s="16"/>
      <c r="AP29" s="16"/>
      <c r="AQ29" s="16"/>
      <c r="AR29" s="16"/>
      <c r="AS29" s="17">
        <f t="shared" si="361"/>
        <v>0</v>
      </c>
      <c r="AU29" s="16"/>
      <c r="AV29" s="16"/>
      <c r="AW29" s="16"/>
      <c r="AX29" s="16"/>
      <c r="AY29" s="16"/>
      <c r="AZ29" s="16"/>
      <c r="BA29" s="16"/>
      <c r="BB29" s="16"/>
      <c r="BC29" s="16"/>
      <c r="BD29" s="16"/>
      <c r="BE29" s="16"/>
      <c r="BF29" s="16"/>
      <c r="BG29" s="17">
        <f t="shared" si="362"/>
        <v>0</v>
      </c>
      <c r="BI29" s="16"/>
      <c r="BJ29" s="16"/>
      <c r="BK29" s="16"/>
      <c r="BL29" s="16"/>
      <c r="BM29" s="16"/>
      <c r="BN29" s="16"/>
      <c r="BO29" s="16"/>
      <c r="BP29" s="16"/>
      <c r="BQ29" s="16"/>
      <c r="BR29" s="16"/>
      <c r="BS29" s="16"/>
      <c r="BT29" s="16"/>
      <c r="BU29" s="17">
        <f t="shared" si="363"/>
        <v>0</v>
      </c>
      <c r="BW29" s="16"/>
      <c r="BX29" s="16"/>
      <c r="BY29" s="16"/>
      <c r="BZ29" s="16"/>
      <c r="CA29" s="16"/>
      <c r="CB29" s="16"/>
      <c r="CC29" s="16"/>
      <c r="CD29" s="16"/>
      <c r="CE29" s="16"/>
      <c r="CF29" s="16"/>
      <c r="CG29" s="16"/>
      <c r="CH29" s="16"/>
      <c r="CI29" s="17">
        <f t="shared" si="364"/>
        <v>0</v>
      </c>
      <c r="CK29" s="16"/>
      <c r="CL29" s="16"/>
      <c r="CM29" s="16"/>
      <c r="CN29" s="16"/>
      <c r="CO29" s="16"/>
      <c r="CP29" s="16"/>
      <c r="CQ29" s="16"/>
      <c r="CR29" s="16"/>
      <c r="CS29" s="16"/>
      <c r="CT29" s="16"/>
      <c r="CU29" s="16"/>
      <c r="CV29" s="16"/>
      <c r="CW29" s="17">
        <f t="shared" si="365"/>
        <v>0</v>
      </c>
      <c r="CY29" s="16"/>
      <c r="CZ29" s="16"/>
      <c r="DA29" s="16"/>
      <c r="DB29" s="16"/>
      <c r="DC29" s="16"/>
      <c r="DD29" s="16"/>
      <c r="DE29" s="16"/>
      <c r="DF29" s="16"/>
      <c r="DG29" s="16"/>
      <c r="DH29" s="16"/>
      <c r="DI29" s="16"/>
      <c r="DJ29" s="16"/>
      <c r="DK29" s="17">
        <f t="shared" si="366"/>
        <v>0</v>
      </c>
      <c r="DM29" s="16"/>
      <c r="DN29" s="16"/>
      <c r="DO29" s="16"/>
      <c r="DP29" s="16"/>
      <c r="DQ29" s="16"/>
      <c r="DR29" s="16"/>
      <c r="DS29" s="16"/>
      <c r="DT29" s="16"/>
      <c r="DU29" s="16"/>
      <c r="DV29" s="16"/>
      <c r="DW29" s="16"/>
      <c r="DX29" s="16"/>
      <c r="DY29" s="17">
        <f t="shared" si="367"/>
        <v>0</v>
      </c>
      <c r="EA29" s="16"/>
      <c r="EB29" s="16"/>
      <c r="EC29" s="16"/>
      <c r="ED29" s="16"/>
      <c r="EE29" s="16"/>
      <c r="EF29" s="16"/>
      <c r="EG29" s="16"/>
      <c r="EH29" s="16"/>
      <c r="EI29" s="16"/>
      <c r="EJ29" s="16"/>
      <c r="EK29" s="16"/>
      <c r="EL29" s="16"/>
      <c r="EM29" s="17">
        <f t="shared" si="368"/>
        <v>0</v>
      </c>
    </row>
    <row r="30" spans="3:143" x14ac:dyDescent="0.3">
      <c r="C30" s="15" t="s">
        <v>25</v>
      </c>
      <c r="E30" s="16">
        <v>50</v>
      </c>
      <c r="F30" s="16">
        <v>50</v>
      </c>
      <c r="G30" s="16">
        <v>50</v>
      </c>
      <c r="H30" s="16">
        <v>50</v>
      </c>
      <c r="I30" s="16">
        <v>50</v>
      </c>
      <c r="J30" s="16">
        <v>50</v>
      </c>
      <c r="K30" s="16">
        <v>50</v>
      </c>
      <c r="L30" s="16">
        <v>50</v>
      </c>
      <c r="M30" s="16">
        <v>50</v>
      </c>
      <c r="N30" s="16">
        <v>50</v>
      </c>
      <c r="O30" s="16">
        <v>50</v>
      </c>
      <c r="P30" s="16">
        <v>50</v>
      </c>
      <c r="Q30" s="17">
        <f>SUM(E30:P30)</f>
        <v>600</v>
      </c>
      <c r="S30" s="16"/>
      <c r="T30" s="16"/>
      <c r="U30" s="16"/>
      <c r="V30" s="16"/>
      <c r="W30" s="16"/>
      <c r="X30" s="16"/>
      <c r="Y30" s="16"/>
      <c r="Z30" s="16"/>
      <c r="AA30" s="16"/>
      <c r="AB30" s="16"/>
      <c r="AC30" s="16"/>
      <c r="AD30" s="16"/>
      <c r="AE30" s="17">
        <f>SUM(S30:AD30)</f>
        <v>0</v>
      </c>
      <c r="AG30" s="16"/>
      <c r="AH30" s="16"/>
      <c r="AI30" s="16"/>
      <c r="AJ30" s="16"/>
      <c r="AK30" s="16"/>
      <c r="AL30" s="16"/>
      <c r="AM30" s="16"/>
      <c r="AN30" s="16"/>
      <c r="AO30" s="16"/>
      <c r="AP30" s="16"/>
      <c r="AQ30" s="16"/>
      <c r="AR30" s="16"/>
      <c r="AS30" s="17">
        <f t="shared" si="351"/>
        <v>0</v>
      </c>
      <c r="AU30" s="16"/>
      <c r="AV30" s="16"/>
      <c r="AW30" s="16"/>
      <c r="AX30" s="16"/>
      <c r="AY30" s="16"/>
      <c r="AZ30" s="16"/>
      <c r="BA30" s="16"/>
      <c r="BB30" s="16"/>
      <c r="BC30" s="16"/>
      <c r="BD30" s="16"/>
      <c r="BE30" s="16"/>
      <c r="BF30" s="16"/>
      <c r="BG30" s="17">
        <f t="shared" si="352"/>
        <v>0</v>
      </c>
      <c r="BI30" s="16"/>
      <c r="BJ30" s="16"/>
      <c r="BK30" s="16"/>
      <c r="BL30" s="16"/>
      <c r="BM30" s="16"/>
      <c r="BN30" s="16"/>
      <c r="BO30" s="16"/>
      <c r="BP30" s="16"/>
      <c r="BQ30" s="16"/>
      <c r="BR30" s="16"/>
      <c r="BS30" s="16"/>
      <c r="BT30" s="16"/>
      <c r="BU30" s="17">
        <f t="shared" si="353"/>
        <v>0</v>
      </c>
      <c r="BW30" s="16"/>
      <c r="BX30" s="16"/>
      <c r="BY30" s="16"/>
      <c r="BZ30" s="16"/>
      <c r="CA30" s="16"/>
      <c r="CB30" s="16"/>
      <c r="CC30" s="16"/>
      <c r="CD30" s="16"/>
      <c r="CE30" s="16"/>
      <c r="CF30" s="16"/>
      <c r="CG30" s="16"/>
      <c r="CH30" s="16"/>
      <c r="CI30" s="17">
        <f t="shared" si="354"/>
        <v>0</v>
      </c>
      <c r="CK30" s="16"/>
      <c r="CL30" s="16"/>
      <c r="CM30" s="16"/>
      <c r="CN30" s="16"/>
      <c r="CO30" s="16"/>
      <c r="CP30" s="16"/>
      <c r="CQ30" s="16"/>
      <c r="CR30" s="16"/>
      <c r="CS30" s="16"/>
      <c r="CT30" s="16"/>
      <c r="CU30" s="16"/>
      <c r="CV30" s="16"/>
      <c r="CW30" s="17">
        <f t="shared" si="355"/>
        <v>0</v>
      </c>
      <c r="CY30" s="16"/>
      <c r="CZ30" s="16"/>
      <c r="DA30" s="16"/>
      <c r="DB30" s="16"/>
      <c r="DC30" s="16"/>
      <c r="DD30" s="16"/>
      <c r="DE30" s="16"/>
      <c r="DF30" s="16"/>
      <c r="DG30" s="16"/>
      <c r="DH30" s="16"/>
      <c r="DI30" s="16"/>
      <c r="DJ30" s="16"/>
      <c r="DK30" s="17">
        <f t="shared" si="356"/>
        <v>0</v>
      </c>
      <c r="DM30" s="16"/>
      <c r="DN30" s="16"/>
      <c r="DO30" s="16"/>
      <c r="DP30" s="16"/>
      <c r="DQ30" s="16"/>
      <c r="DR30" s="16"/>
      <c r="DS30" s="16"/>
      <c r="DT30" s="16"/>
      <c r="DU30" s="16"/>
      <c r="DV30" s="16"/>
      <c r="DW30" s="16"/>
      <c r="DX30" s="16"/>
      <c r="DY30" s="17">
        <f t="shared" si="357"/>
        <v>0</v>
      </c>
      <c r="EA30" s="16"/>
      <c r="EB30" s="16"/>
      <c r="EC30" s="16"/>
      <c r="ED30" s="16"/>
      <c r="EE30" s="16"/>
      <c r="EF30" s="16"/>
      <c r="EG30" s="16"/>
      <c r="EH30" s="16"/>
      <c r="EI30" s="16"/>
      <c r="EJ30" s="16"/>
      <c r="EK30" s="16"/>
      <c r="EL30" s="16"/>
      <c r="EM30" s="17">
        <f t="shared" si="358"/>
        <v>0</v>
      </c>
    </row>
    <row r="31" spans="3:143" x14ac:dyDescent="0.3">
      <c r="C31" s="15" t="s">
        <v>26</v>
      </c>
      <c r="E31" s="16">
        <v>300</v>
      </c>
      <c r="F31" s="16">
        <v>300</v>
      </c>
      <c r="G31" s="16">
        <v>300</v>
      </c>
      <c r="H31" s="16">
        <v>1200</v>
      </c>
      <c r="I31" s="16">
        <v>300</v>
      </c>
      <c r="J31" s="16">
        <v>300</v>
      </c>
      <c r="K31" s="16">
        <v>300</v>
      </c>
      <c r="L31" s="16">
        <v>1500</v>
      </c>
      <c r="M31" s="16">
        <v>300</v>
      </c>
      <c r="N31" s="16">
        <v>300</v>
      </c>
      <c r="O31" s="16">
        <v>300</v>
      </c>
      <c r="P31" s="16">
        <v>600</v>
      </c>
      <c r="Q31" s="17">
        <f>SUM(E31:P31)</f>
        <v>6000</v>
      </c>
      <c r="S31" s="16"/>
      <c r="T31" s="16"/>
      <c r="U31" s="16"/>
      <c r="V31" s="16"/>
      <c r="W31" s="16"/>
      <c r="X31" s="16"/>
      <c r="Y31" s="16"/>
      <c r="Z31" s="16"/>
      <c r="AA31" s="16"/>
      <c r="AB31" s="16"/>
      <c r="AC31" s="16"/>
      <c r="AD31" s="16"/>
      <c r="AE31" s="17">
        <f>SUM(S31:AD31)</f>
        <v>0</v>
      </c>
      <c r="AG31" s="16"/>
      <c r="AH31" s="16"/>
      <c r="AI31" s="16"/>
      <c r="AJ31" s="16"/>
      <c r="AK31" s="16"/>
      <c r="AL31" s="16"/>
      <c r="AM31" s="16"/>
      <c r="AN31" s="16"/>
      <c r="AO31" s="16"/>
      <c r="AP31" s="16"/>
      <c r="AQ31" s="16"/>
      <c r="AR31" s="16"/>
      <c r="AS31" s="17">
        <f t="shared" si="351"/>
        <v>0</v>
      </c>
      <c r="AU31" s="16"/>
      <c r="AV31" s="16"/>
      <c r="AW31" s="16"/>
      <c r="AX31" s="16"/>
      <c r="AY31" s="16"/>
      <c r="AZ31" s="16"/>
      <c r="BA31" s="16"/>
      <c r="BB31" s="16"/>
      <c r="BC31" s="16"/>
      <c r="BD31" s="16"/>
      <c r="BE31" s="16"/>
      <c r="BF31" s="16"/>
      <c r="BG31" s="17">
        <f t="shared" si="352"/>
        <v>0</v>
      </c>
      <c r="BI31" s="16"/>
      <c r="BJ31" s="16"/>
      <c r="BK31" s="16"/>
      <c r="BL31" s="16"/>
      <c r="BM31" s="16"/>
      <c r="BN31" s="16"/>
      <c r="BO31" s="16"/>
      <c r="BP31" s="16"/>
      <c r="BQ31" s="16"/>
      <c r="BR31" s="16"/>
      <c r="BS31" s="16"/>
      <c r="BT31" s="16"/>
      <c r="BU31" s="17">
        <f t="shared" si="353"/>
        <v>0</v>
      </c>
      <c r="BW31" s="16"/>
      <c r="BX31" s="16"/>
      <c r="BY31" s="16"/>
      <c r="BZ31" s="16"/>
      <c r="CA31" s="16"/>
      <c r="CB31" s="16"/>
      <c r="CC31" s="16"/>
      <c r="CD31" s="16"/>
      <c r="CE31" s="16"/>
      <c r="CF31" s="16"/>
      <c r="CG31" s="16"/>
      <c r="CH31" s="16"/>
      <c r="CI31" s="17">
        <f t="shared" si="354"/>
        <v>0</v>
      </c>
      <c r="CK31" s="16"/>
      <c r="CL31" s="16"/>
      <c r="CM31" s="16"/>
      <c r="CN31" s="16"/>
      <c r="CO31" s="16"/>
      <c r="CP31" s="16"/>
      <c r="CQ31" s="16"/>
      <c r="CR31" s="16"/>
      <c r="CS31" s="16"/>
      <c r="CT31" s="16"/>
      <c r="CU31" s="16"/>
      <c r="CV31" s="16"/>
      <c r="CW31" s="17">
        <f t="shared" si="355"/>
        <v>0</v>
      </c>
      <c r="CY31" s="16"/>
      <c r="CZ31" s="16"/>
      <c r="DA31" s="16"/>
      <c r="DB31" s="16"/>
      <c r="DC31" s="16"/>
      <c r="DD31" s="16"/>
      <c r="DE31" s="16"/>
      <c r="DF31" s="16"/>
      <c r="DG31" s="16"/>
      <c r="DH31" s="16"/>
      <c r="DI31" s="16"/>
      <c r="DJ31" s="16"/>
      <c r="DK31" s="17">
        <f t="shared" si="356"/>
        <v>0</v>
      </c>
      <c r="DM31" s="16"/>
      <c r="DN31" s="16"/>
      <c r="DO31" s="16"/>
      <c r="DP31" s="16"/>
      <c r="DQ31" s="16"/>
      <c r="DR31" s="16"/>
      <c r="DS31" s="16"/>
      <c r="DT31" s="16"/>
      <c r="DU31" s="16"/>
      <c r="DV31" s="16"/>
      <c r="DW31" s="16"/>
      <c r="DX31" s="16"/>
      <c r="DY31" s="17">
        <f t="shared" si="357"/>
        <v>0</v>
      </c>
      <c r="EA31" s="16"/>
      <c r="EB31" s="16"/>
      <c r="EC31" s="16"/>
      <c r="ED31" s="16"/>
      <c r="EE31" s="16"/>
      <c r="EF31" s="16"/>
      <c r="EG31" s="16"/>
      <c r="EH31" s="16"/>
      <c r="EI31" s="16"/>
      <c r="EJ31" s="16"/>
      <c r="EK31" s="16"/>
      <c r="EL31" s="16"/>
      <c r="EM31" s="17">
        <f t="shared" si="358"/>
        <v>0</v>
      </c>
    </row>
    <row r="32" spans="3:143" hidden="1" x14ac:dyDescent="0.3">
      <c r="C32" s="15" t="s">
        <v>14</v>
      </c>
      <c r="E32" s="16"/>
      <c r="F32" s="16"/>
      <c r="G32" s="16"/>
      <c r="H32" s="16"/>
      <c r="I32" s="16"/>
      <c r="J32" s="16"/>
      <c r="K32" s="16"/>
      <c r="L32" s="16"/>
      <c r="M32" s="16"/>
      <c r="N32" s="16"/>
      <c r="O32" s="16"/>
      <c r="P32" s="16"/>
      <c r="Q32" s="17">
        <f>SUM(E32:P32)</f>
        <v>0</v>
      </c>
      <c r="S32" s="16"/>
      <c r="T32" s="16"/>
      <c r="U32" s="16"/>
      <c r="V32" s="16"/>
      <c r="W32" s="16"/>
      <c r="X32" s="16"/>
      <c r="Y32" s="16"/>
      <c r="Z32" s="16"/>
      <c r="AA32" s="16"/>
      <c r="AB32" s="16"/>
      <c r="AC32" s="16"/>
      <c r="AD32" s="16"/>
      <c r="AE32" s="17">
        <f>SUM(S32:AD32)</f>
        <v>0</v>
      </c>
      <c r="AG32" s="16"/>
      <c r="AH32" s="16"/>
      <c r="AI32" s="16"/>
      <c r="AJ32" s="16"/>
      <c r="AK32" s="16"/>
      <c r="AL32" s="16"/>
      <c r="AM32" s="16"/>
      <c r="AN32" s="16"/>
      <c r="AO32" s="16"/>
      <c r="AP32" s="16"/>
      <c r="AQ32" s="16"/>
      <c r="AR32" s="16"/>
      <c r="AS32" s="17">
        <f t="shared" si="351"/>
        <v>0</v>
      </c>
      <c r="AU32" s="16"/>
      <c r="AV32" s="16"/>
      <c r="AW32" s="16"/>
      <c r="AX32" s="16"/>
      <c r="AY32" s="16"/>
      <c r="AZ32" s="16"/>
      <c r="BA32" s="16"/>
      <c r="BB32" s="16"/>
      <c r="BC32" s="16"/>
      <c r="BD32" s="16"/>
      <c r="BE32" s="16"/>
      <c r="BF32" s="16"/>
      <c r="BG32" s="17">
        <f t="shared" si="352"/>
        <v>0</v>
      </c>
      <c r="BI32" s="16"/>
      <c r="BJ32" s="16"/>
      <c r="BK32" s="16"/>
      <c r="BL32" s="16"/>
      <c r="BM32" s="16"/>
      <c r="BN32" s="16"/>
      <c r="BO32" s="16"/>
      <c r="BP32" s="16"/>
      <c r="BQ32" s="16"/>
      <c r="BR32" s="16"/>
      <c r="BS32" s="16"/>
      <c r="BT32" s="16"/>
      <c r="BU32" s="17">
        <f t="shared" si="353"/>
        <v>0</v>
      </c>
      <c r="BW32" s="16"/>
      <c r="BX32" s="16"/>
      <c r="BY32" s="16"/>
      <c r="BZ32" s="16"/>
      <c r="CA32" s="16"/>
      <c r="CB32" s="16"/>
      <c r="CC32" s="16"/>
      <c r="CD32" s="16"/>
      <c r="CE32" s="16"/>
      <c r="CF32" s="16"/>
      <c r="CG32" s="16"/>
      <c r="CH32" s="16"/>
      <c r="CI32" s="17">
        <f t="shared" si="354"/>
        <v>0</v>
      </c>
      <c r="CK32" s="16"/>
      <c r="CL32" s="16"/>
      <c r="CM32" s="16"/>
      <c r="CN32" s="16"/>
      <c r="CO32" s="16"/>
      <c r="CP32" s="16"/>
      <c r="CQ32" s="16"/>
      <c r="CR32" s="16"/>
      <c r="CS32" s="16"/>
      <c r="CT32" s="16"/>
      <c r="CU32" s="16"/>
      <c r="CV32" s="16"/>
      <c r="CW32" s="17">
        <f t="shared" si="355"/>
        <v>0</v>
      </c>
      <c r="CY32" s="16"/>
      <c r="CZ32" s="16"/>
      <c r="DA32" s="16"/>
      <c r="DB32" s="16"/>
      <c r="DC32" s="16"/>
      <c r="DD32" s="16"/>
      <c r="DE32" s="16"/>
      <c r="DF32" s="16"/>
      <c r="DG32" s="16"/>
      <c r="DH32" s="16"/>
      <c r="DI32" s="16"/>
      <c r="DJ32" s="16"/>
      <c r="DK32" s="17">
        <f t="shared" si="356"/>
        <v>0</v>
      </c>
      <c r="DM32" s="16"/>
      <c r="DN32" s="16"/>
      <c r="DO32" s="16"/>
      <c r="DP32" s="16"/>
      <c r="DQ32" s="16"/>
      <c r="DR32" s="16"/>
      <c r="DS32" s="16"/>
      <c r="DT32" s="16"/>
      <c r="DU32" s="16"/>
      <c r="DV32" s="16"/>
      <c r="DW32" s="16"/>
      <c r="DX32" s="16"/>
      <c r="DY32" s="17">
        <f t="shared" si="357"/>
        <v>0</v>
      </c>
      <c r="EA32" s="16"/>
      <c r="EB32" s="16"/>
      <c r="EC32" s="16"/>
      <c r="ED32" s="16"/>
      <c r="EE32" s="16"/>
      <c r="EF32" s="16"/>
      <c r="EG32" s="16"/>
      <c r="EH32" s="16"/>
      <c r="EI32" s="16"/>
      <c r="EJ32" s="16"/>
      <c r="EK32" s="16"/>
      <c r="EL32" s="16"/>
      <c r="EM32" s="17">
        <f t="shared" si="358"/>
        <v>0</v>
      </c>
    </row>
    <row r="33" spans="3:143" hidden="1" x14ac:dyDescent="0.3">
      <c r="C33" s="15" t="s">
        <v>14</v>
      </c>
      <c r="E33" s="16"/>
      <c r="F33" s="16"/>
      <c r="G33" s="16"/>
      <c r="H33" s="16"/>
      <c r="I33" s="16"/>
      <c r="J33" s="16"/>
      <c r="K33" s="16"/>
      <c r="L33" s="16"/>
      <c r="M33" s="16"/>
      <c r="N33" s="16"/>
      <c r="O33" s="16"/>
      <c r="P33" s="16"/>
      <c r="Q33" s="17">
        <f t="shared" ref="Q33:Q34" si="369">SUM(E33:P33)</f>
        <v>0</v>
      </c>
      <c r="S33" s="16"/>
      <c r="T33" s="16"/>
      <c r="U33" s="16"/>
      <c r="V33" s="16"/>
      <c r="W33" s="16"/>
      <c r="X33" s="16"/>
      <c r="Y33" s="16"/>
      <c r="Z33" s="16"/>
      <c r="AA33" s="16"/>
      <c r="AB33" s="16"/>
      <c r="AC33" s="16"/>
      <c r="AD33" s="16"/>
      <c r="AE33" s="17">
        <f t="shared" ref="AE33:AE34" si="370">SUM(S33:AD33)</f>
        <v>0</v>
      </c>
      <c r="AG33" s="16"/>
      <c r="AH33" s="16"/>
      <c r="AI33" s="16"/>
      <c r="AJ33" s="16"/>
      <c r="AK33" s="16"/>
      <c r="AL33" s="16"/>
      <c r="AM33" s="16"/>
      <c r="AN33" s="16"/>
      <c r="AO33" s="16"/>
      <c r="AP33" s="16"/>
      <c r="AQ33" s="16"/>
      <c r="AR33" s="16"/>
      <c r="AS33" s="17">
        <f t="shared" si="351"/>
        <v>0</v>
      </c>
      <c r="AU33" s="16"/>
      <c r="AV33" s="16"/>
      <c r="AW33" s="16"/>
      <c r="AX33" s="16"/>
      <c r="AY33" s="16"/>
      <c r="AZ33" s="16"/>
      <c r="BA33" s="16"/>
      <c r="BB33" s="16"/>
      <c r="BC33" s="16"/>
      <c r="BD33" s="16"/>
      <c r="BE33" s="16"/>
      <c r="BF33" s="16"/>
      <c r="BG33" s="17">
        <f t="shared" si="352"/>
        <v>0</v>
      </c>
      <c r="BI33" s="16"/>
      <c r="BJ33" s="16"/>
      <c r="BK33" s="16"/>
      <c r="BL33" s="16"/>
      <c r="BM33" s="16"/>
      <c r="BN33" s="16"/>
      <c r="BO33" s="16"/>
      <c r="BP33" s="16"/>
      <c r="BQ33" s="16"/>
      <c r="BR33" s="16"/>
      <c r="BS33" s="16"/>
      <c r="BT33" s="16"/>
      <c r="BU33" s="17">
        <f t="shared" si="353"/>
        <v>0</v>
      </c>
      <c r="BW33" s="16"/>
      <c r="BX33" s="16"/>
      <c r="BY33" s="16"/>
      <c r="BZ33" s="16"/>
      <c r="CA33" s="16"/>
      <c r="CB33" s="16"/>
      <c r="CC33" s="16"/>
      <c r="CD33" s="16"/>
      <c r="CE33" s="16"/>
      <c r="CF33" s="16"/>
      <c r="CG33" s="16"/>
      <c r="CH33" s="16"/>
      <c r="CI33" s="17">
        <f t="shared" si="354"/>
        <v>0</v>
      </c>
      <c r="CK33" s="16"/>
      <c r="CL33" s="16"/>
      <c r="CM33" s="16"/>
      <c r="CN33" s="16"/>
      <c r="CO33" s="16"/>
      <c r="CP33" s="16"/>
      <c r="CQ33" s="16"/>
      <c r="CR33" s="16"/>
      <c r="CS33" s="16"/>
      <c r="CT33" s="16"/>
      <c r="CU33" s="16"/>
      <c r="CV33" s="16"/>
      <c r="CW33" s="17">
        <f t="shared" si="355"/>
        <v>0</v>
      </c>
      <c r="CY33" s="16"/>
      <c r="CZ33" s="16"/>
      <c r="DA33" s="16"/>
      <c r="DB33" s="16"/>
      <c r="DC33" s="16"/>
      <c r="DD33" s="16"/>
      <c r="DE33" s="16"/>
      <c r="DF33" s="16"/>
      <c r="DG33" s="16"/>
      <c r="DH33" s="16"/>
      <c r="DI33" s="16"/>
      <c r="DJ33" s="16"/>
      <c r="DK33" s="17">
        <f t="shared" si="356"/>
        <v>0</v>
      </c>
      <c r="DM33" s="16"/>
      <c r="DN33" s="16"/>
      <c r="DO33" s="16"/>
      <c r="DP33" s="16"/>
      <c r="DQ33" s="16"/>
      <c r="DR33" s="16"/>
      <c r="DS33" s="16"/>
      <c r="DT33" s="16"/>
      <c r="DU33" s="16"/>
      <c r="DV33" s="16"/>
      <c r="DW33" s="16"/>
      <c r="DX33" s="16"/>
      <c r="DY33" s="17">
        <f t="shared" si="357"/>
        <v>0</v>
      </c>
      <c r="EA33" s="16"/>
      <c r="EB33" s="16"/>
      <c r="EC33" s="16"/>
      <c r="ED33" s="16"/>
      <c r="EE33" s="16"/>
      <c r="EF33" s="16"/>
      <c r="EG33" s="16"/>
      <c r="EH33" s="16"/>
      <c r="EI33" s="16"/>
      <c r="EJ33" s="16"/>
      <c r="EK33" s="16"/>
      <c r="EL33" s="16"/>
      <c r="EM33" s="17">
        <f t="shared" si="358"/>
        <v>0</v>
      </c>
    </row>
    <row r="34" spans="3:143" hidden="1" x14ac:dyDescent="0.3">
      <c r="C34" s="15" t="s">
        <v>14</v>
      </c>
      <c r="E34" s="16"/>
      <c r="F34" s="16"/>
      <c r="G34" s="16"/>
      <c r="H34" s="16"/>
      <c r="I34" s="16"/>
      <c r="J34" s="16"/>
      <c r="K34" s="16"/>
      <c r="L34" s="16"/>
      <c r="M34" s="16"/>
      <c r="N34" s="16"/>
      <c r="O34" s="16"/>
      <c r="P34" s="16"/>
      <c r="Q34" s="17">
        <f t="shared" si="369"/>
        <v>0</v>
      </c>
      <c r="S34" s="16"/>
      <c r="T34" s="16"/>
      <c r="U34" s="16"/>
      <c r="V34" s="16"/>
      <c r="W34" s="16"/>
      <c r="X34" s="16"/>
      <c r="Y34" s="16"/>
      <c r="Z34" s="16"/>
      <c r="AA34" s="16"/>
      <c r="AB34" s="16"/>
      <c r="AC34" s="16"/>
      <c r="AD34" s="16"/>
      <c r="AE34" s="17">
        <f t="shared" si="370"/>
        <v>0</v>
      </c>
      <c r="AG34" s="16"/>
      <c r="AH34" s="16"/>
      <c r="AI34" s="16"/>
      <c r="AJ34" s="16"/>
      <c r="AK34" s="16"/>
      <c r="AL34" s="16"/>
      <c r="AM34" s="16"/>
      <c r="AN34" s="16"/>
      <c r="AO34" s="16"/>
      <c r="AP34" s="16"/>
      <c r="AQ34" s="16"/>
      <c r="AR34" s="16"/>
      <c r="AS34" s="17">
        <f t="shared" si="351"/>
        <v>0</v>
      </c>
      <c r="AU34" s="16"/>
      <c r="AV34" s="16"/>
      <c r="AW34" s="16"/>
      <c r="AX34" s="16"/>
      <c r="AY34" s="16"/>
      <c r="AZ34" s="16"/>
      <c r="BA34" s="16"/>
      <c r="BB34" s="16"/>
      <c r="BC34" s="16"/>
      <c r="BD34" s="16"/>
      <c r="BE34" s="16"/>
      <c r="BF34" s="16"/>
      <c r="BG34" s="17">
        <f t="shared" si="352"/>
        <v>0</v>
      </c>
      <c r="BI34" s="16"/>
      <c r="BJ34" s="16"/>
      <c r="BK34" s="16"/>
      <c r="BL34" s="16"/>
      <c r="BM34" s="16"/>
      <c r="BN34" s="16"/>
      <c r="BO34" s="16"/>
      <c r="BP34" s="16"/>
      <c r="BQ34" s="16"/>
      <c r="BR34" s="16"/>
      <c r="BS34" s="16"/>
      <c r="BT34" s="16"/>
      <c r="BU34" s="17">
        <f t="shared" si="353"/>
        <v>0</v>
      </c>
      <c r="BW34" s="16"/>
      <c r="BX34" s="16"/>
      <c r="BY34" s="16"/>
      <c r="BZ34" s="16"/>
      <c r="CA34" s="16"/>
      <c r="CB34" s="16"/>
      <c r="CC34" s="16"/>
      <c r="CD34" s="16"/>
      <c r="CE34" s="16"/>
      <c r="CF34" s="16"/>
      <c r="CG34" s="16"/>
      <c r="CH34" s="16"/>
      <c r="CI34" s="17">
        <f t="shared" si="354"/>
        <v>0</v>
      </c>
      <c r="CK34" s="16"/>
      <c r="CL34" s="16"/>
      <c r="CM34" s="16"/>
      <c r="CN34" s="16"/>
      <c r="CO34" s="16"/>
      <c r="CP34" s="16"/>
      <c r="CQ34" s="16"/>
      <c r="CR34" s="16"/>
      <c r="CS34" s="16"/>
      <c r="CT34" s="16"/>
      <c r="CU34" s="16"/>
      <c r="CV34" s="16"/>
      <c r="CW34" s="17">
        <f t="shared" si="355"/>
        <v>0</v>
      </c>
      <c r="CY34" s="16"/>
      <c r="CZ34" s="16"/>
      <c r="DA34" s="16"/>
      <c r="DB34" s="16"/>
      <c r="DC34" s="16"/>
      <c r="DD34" s="16"/>
      <c r="DE34" s="16"/>
      <c r="DF34" s="16"/>
      <c r="DG34" s="16"/>
      <c r="DH34" s="16"/>
      <c r="DI34" s="16"/>
      <c r="DJ34" s="16"/>
      <c r="DK34" s="17">
        <f t="shared" si="356"/>
        <v>0</v>
      </c>
      <c r="DM34" s="16"/>
      <c r="DN34" s="16"/>
      <c r="DO34" s="16"/>
      <c r="DP34" s="16"/>
      <c r="DQ34" s="16"/>
      <c r="DR34" s="16"/>
      <c r="DS34" s="16"/>
      <c r="DT34" s="16"/>
      <c r="DU34" s="16"/>
      <c r="DV34" s="16"/>
      <c r="DW34" s="16"/>
      <c r="DX34" s="16"/>
      <c r="DY34" s="17">
        <f t="shared" si="357"/>
        <v>0</v>
      </c>
      <c r="EA34" s="16"/>
      <c r="EB34" s="16"/>
      <c r="EC34" s="16"/>
      <c r="ED34" s="16"/>
      <c r="EE34" s="16"/>
      <c r="EF34" s="16"/>
      <c r="EG34" s="16"/>
      <c r="EH34" s="16"/>
      <c r="EI34" s="16"/>
      <c r="EJ34" s="16"/>
      <c r="EK34" s="16"/>
      <c r="EL34" s="16"/>
      <c r="EM34" s="17">
        <f t="shared" si="358"/>
        <v>0</v>
      </c>
    </row>
    <row r="35" spans="3:143" hidden="1" x14ac:dyDescent="0.3">
      <c r="C35" s="15" t="s">
        <v>14</v>
      </c>
      <c r="E35" s="17"/>
      <c r="F35" s="17"/>
      <c r="G35" s="17"/>
      <c r="H35" s="17"/>
      <c r="I35" s="17"/>
      <c r="J35" s="17"/>
      <c r="K35" s="17"/>
      <c r="L35" s="17"/>
      <c r="M35" s="17"/>
      <c r="N35" s="17"/>
      <c r="O35" s="17"/>
      <c r="P35" s="17"/>
      <c r="Q35" s="17">
        <f>SUM(E35:P35)</f>
        <v>0</v>
      </c>
      <c r="S35" s="17"/>
      <c r="T35" s="17"/>
      <c r="U35" s="17"/>
      <c r="V35" s="17"/>
      <c r="W35" s="17"/>
      <c r="X35" s="17"/>
      <c r="Y35" s="17"/>
      <c r="Z35" s="17"/>
      <c r="AA35" s="17"/>
      <c r="AB35" s="17"/>
      <c r="AC35" s="17"/>
      <c r="AD35" s="17"/>
      <c r="AE35" s="17">
        <f>SUM(S35:AD35)</f>
        <v>0</v>
      </c>
      <c r="AG35" s="17"/>
      <c r="AH35" s="17"/>
      <c r="AI35" s="17"/>
      <c r="AJ35" s="17"/>
      <c r="AK35" s="17"/>
      <c r="AL35" s="17"/>
      <c r="AM35" s="17"/>
      <c r="AN35" s="17"/>
      <c r="AO35" s="17"/>
      <c r="AP35" s="17"/>
      <c r="AQ35" s="17"/>
      <c r="AR35" s="17"/>
      <c r="AS35" s="17">
        <f t="shared" si="351"/>
        <v>0</v>
      </c>
      <c r="AU35" s="17"/>
      <c r="AV35" s="17"/>
      <c r="AW35" s="17"/>
      <c r="AX35" s="17"/>
      <c r="AY35" s="17"/>
      <c r="AZ35" s="17"/>
      <c r="BA35" s="17"/>
      <c r="BB35" s="17"/>
      <c r="BC35" s="17"/>
      <c r="BD35" s="17"/>
      <c r="BE35" s="17"/>
      <c r="BF35" s="17"/>
      <c r="BG35" s="17">
        <f t="shared" si="352"/>
        <v>0</v>
      </c>
      <c r="BI35" s="17"/>
      <c r="BJ35" s="17"/>
      <c r="BK35" s="17"/>
      <c r="BL35" s="17"/>
      <c r="BM35" s="17"/>
      <c r="BN35" s="17"/>
      <c r="BO35" s="17"/>
      <c r="BP35" s="17"/>
      <c r="BQ35" s="17"/>
      <c r="BR35" s="17"/>
      <c r="BS35" s="17"/>
      <c r="BT35" s="17"/>
      <c r="BU35" s="17">
        <f t="shared" si="353"/>
        <v>0</v>
      </c>
      <c r="BW35" s="17"/>
      <c r="BX35" s="17"/>
      <c r="BY35" s="17"/>
      <c r="BZ35" s="17"/>
      <c r="CA35" s="17"/>
      <c r="CB35" s="17"/>
      <c r="CC35" s="17"/>
      <c r="CD35" s="17"/>
      <c r="CE35" s="17"/>
      <c r="CF35" s="17"/>
      <c r="CG35" s="17"/>
      <c r="CH35" s="17"/>
      <c r="CI35" s="17">
        <f t="shared" si="354"/>
        <v>0</v>
      </c>
      <c r="CK35" s="17"/>
      <c r="CL35" s="17"/>
      <c r="CM35" s="17"/>
      <c r="CN35" s="17"/>
      <c r="CO35" s="17"/>
      <c r="CP35" s="17"/>
      <c r="CQ35" s="17"/>
      <c r="CR35" s="17"/>
      <c r="CS35" s="17"/>
      <c r="CT35" s="17"/>
      <c r="CU35" s="17"/>
      <c r="CV35" s="17"/>
      <c r="CW35" s="17">
        <f t="shared" si="355"/>
        <v>0</v>
      </c>
      <c r="CY35" s="17"/>
      <c r="CZ35" s="17"/>
      <c r="DA35" s="17"/>
      <c r="DB35" s="17"/>
      <c r="DC35" s="17"/>
      <c r="DD35" s="17"/>
      <c r="DE35" s="17"/>
      <c r="DF35" s="17"/>
      <c r="DG35" s="17"/>
      <c r="DH35" s="17"/>
      <c r="DI35" s="17"/>
      <c r="DJ35" s="17"/>
      <c r="DK35" s="17">
        <f t="shared" si="356"/>
        <v>0</v>
      </c>
      <c r="DM35" s="17"/>
      <c r="DN35" s="17"/>
      <c r="DO35" s="17"/>
      <c r="DP35" s="17"/>
      <c r="DQ35" s="17"/>
      <c r="DR35" s="17"/>
      <c r="DS35" s="17"/>
      <c r="DT35" s="17"/>
      <c r="DU35" s="17"/>
      <c r="DV35" s="17"/>
      <c r="DW35" s="17"/>
      <c r="DX35" s="17"/>
      <c r="DY35" s="17">
        <f t="shared" si="357"/>
        <v>0</v>
      </c>
      <c r="EA35" s="17"/>
      <c r="EB35" s="17"/>
      <c r="EC35" s="17"/>
      <c r="ED35" s="17"/>
      <c r="EE35" s="17"/>
      <c r="EF35" s="17"/>
      <c r="EG35" s="17"/>
      <c r="EH35" s="17"/>
      <c r="EI35" s="17"/>
      <c r="EJ35" s="17"/>
      <c r="EK35" s="17"/>
      <c r="EL35" s="17"/>
      <c r="EM35" s="17">
        <f t="shared" si="358"/>
        <v>0</v>
      </c>
    </row>
    <row r="36" spans="3:143" x14ac:dyDescent="0.3">
      <c r="C36" s="12" t="s">
        <v>6</v>
      </c>
      <c r="E36" s="17" cm="1">
        <f t="array" aca="1" ref="E36" ca="1">SUM(INDIRECT(ADDRESS(expenses_min_row,COLUMN())&amp;":"&amp; ADDRESS(expenses_max_row,COLUMN())))</f>
        <v>2900</v>
      </c>
      <c r="F36" s="17" cm="1">
        <f t="array" aca="1" ref="F36" ca="1">SUM(INDIRECT(ADDRESS(expenses_min_row,COLUMN())&amp;":"&amp; ADDRESS(expenses_max_row,COLUMN())))</f>
        <v>2900</v>
      </c>
      <c r="G36" s="17" cm="1">
        <f t="array" aca="1" ref="G36" ca="1">SUM(INDIRECT(ADDRESS(expenses_min_row,COLUMN())&amp;":"&amp; ADDRESS(expenses_max_row,COLUMN())))</f>
        <v>3050</v>
      </c>
      <c r="H36" s="17" cm="1">
        <f t="array" aca="1" ref="H36" ca="1">SUM(INDIRECT(ADDRESS(expenses_min_row,COLUMN())&amp;":"&amp; ADDRESS(expenses_max_row,COLUMN())))</f>
        <v>3800</v>
      </c>
      <c r="I36" s="17" cm="1">
        <f t="array" aca="1" ref="I36" ca="1">SUM(INDIRECT(ADDRESS(expenses_min_row,COLUMN())&amp;":"&amp; ADDRESS(expenses_max_row,COLUMN())))</f>
        <v>2900</v>
      </c>
      <c r="J36" s="17" cm="1">
        <f t="array" aca="1" ref="J36" ca="1">SUM(INDIRECT(ADDRESS(expenses_min_row,COLUMN())&amp;":"&amp; ADDRESS(expenses_max_row,COLUMN())))</f>
        <v>3050</v>
      </c>
      <c r="K36" s="17" cm="1">
        <f t="array" aca="1" ref="K36" ca="1">SUM(INDIRECT(ADDRESS(expenses_min_row,COLUMN())&amp;":"&amp; ADDRESS(expenses_max_row,COLUMN())))</f>
        <v>2900</v>
      </c>
      <c r="L36" s="17" cm="1">
        <f t="array" aca="1" ref="L36" ca="1">SUM(INDIRECT(ADDRESS(expenses_min_row,COLUMN())&amp;":"&amp; ADDRESS(expenses_max_row,COLUMN())))</f>
        <v>4100</v>
      </c>
      <c r="M36" s="17" cm="1">
        <f t="array" aca="1" ref="M36" ca="1">SUM(INDIRECT(ADDRESS(expenses_min_row,COLUMN())&amp;":"&amp; ADDRESS(expenses_max_row,COLUMN())))</f>
        <v>3050</v>
      </c>
      <c r="N36" s="17" cm="1">
        <f t="array" aca="1" ref="N36" ca="1">SUM(INDIRECT(ADDRESS(expenses_min_row,COLUMN())&amp;":"&amp; ADDRESS(expenses_max_row,COLUMN())))</f>
        <v>2900</v>
      </c>
      <c r="O36" s="17" cm="1">
        <f t="array" aca="1" ref="O36" ca="1">SUM(INDIRECT(ADDRESS(expenses_min_row,COLUMN())&amp;":"&amp; ADDRESS(expenses_max_row,COLUMN())))</f>
        <v>2900</v>
      </c>
      <c r="P36" s="17" cm="1">
        <f t="array" aca="1" ref="P36" ca="1">SUM(INDIRECT(ADDRESS(expenses_min_row,COLUMN())&amp;":"&amp; ADDRESS(expenses_max_row,COLUMN())))</f>
        <v>3350</v>
      </c>
      <c r="Q36" s="17" cm="1">
        <f t="array" aca="1" ref="Q36" ca="1">SUM(INDIRECT(ADDRESS(expenses_min_row,COLUMN())&amp;":"&amp; ADDRESS(expenses_max_row,COLUMN())))</f>
        <v>37800</v>
      </c>
      <c r="S36" s="17" cm="1">
        <f t="array" aca="1" ref="S36" ca="1">SUM(INDIRECT(ADDRESS(expenses_min_row,COLUMN())&amp;":"&amp; ADDRESS(expenses_max_row,COLUMN())))</f>
        <v>0</v>
      </c>
      <c r="T36" s="17" cm="1">
        <f t="array" aca="1" ref="T36" ca="1">SUM(INDIRECT(ADDRESS(expenses_min_row,COLUMN())&amp;":"&amp; ADDRESS(expenses_max_row,COLUMN())))</f>
        <v>0</v>
      </c>
      <c r="U36" s="17" cm="1">
        <f t="array" aca="1" ref="U36" ca="1">SUM(INDIRECT(ADDRESS(expenses_min_row,COLUMN())&amp;":"&amp; ADDRESS(expenses_max_row,COLUMN())))</f>
        <v>0</v>
      </c>
      <c r="V36" s="17" cm="1">
        <f t="array" aca="1" ref="V36" ca="1">SUM(INDIRECT(ADDRESS(expenses_min_row,COLUMN())&amp;":"&amp; ADDRESS(expenses_max_row,COLUMN())))</f>
        <v>0</v>
      </c>
      <c r="W36" s="17" cm="1">
        <f t="array" aca="1" ref="W36" ca="1">SUM(INDIRECT(ADDRESS(expenses_min_row,COLUMN())&amp;":"&amp; ADDRESS(expenses_max_row,COLUMN())))</f>
        <v>0</v>
      </c>
      <c r="X36" s="17" cm="1">
        <f t="array" aca="1" ref="X36" ca="1">SUM(INDIRECT(ADDRESS(expenses_min_row,COLUMN())&amp;":"&amp; ADDRESS(expenses_max_row,COLUMN())))</f>
        <v>0</v>
      </c>
      <c r="Y36" s="17" cm="1">
        <f t="array" aca="1" ref="Y36" ca="1">SUM(INDIRECT(ADDRESS(expenses_min_row,COLUMN())&amp;":"&amp; ADDRESS(expenses_max_row,COLUMN())))</f>
        <v>0</v>
      </c>
      <c r="Z36" s="17" cm="1">
        <f t="array" aca="1" ref="Z36" ca="1">SUM(INDIRECT(ADDRESS(expenses_min_row,COLUMN())&amp;":"&amp; ADDRESS(expenses_max_row,COLUMN())))</f>
        <v>0</v>
      </c>
      <c r="AA36" s="17" cm="1">
        <f t="array" aca="1" ref="AA36" ca="1">SUM(INDIRECT(ADDRESS(expenses_min_row,COLUMN())&amp;":"&amp; ADDRESS(expenses_max_row,COLUMN())))</f>
        <v>0</v>
      </c>
      <c r="AB36" s="17" cm="1">
        <f t="array" aca="1" ref="AB36" ca="1">SUM(INDIRECT(ADDRESS(expenses_min_row,COLUMN())&amp;":"&amp; ADDRESS(expenses_max_row,COLUMN())))</f>
        <v>0</v>
      </c>
      <c r="AC36" s="17" cm="1">
        <f t="array" aca="1" ref="AC36" ca="1">SUM(INDIRECT(ADDRESS(expenses_min_row,COLUMN())&amp;":"&amp; ADDRESS(expenses_max_row,COLUMN())))</f>
        <v>0</v>
      </c>
      <c r="AD36" s="17" cm="1">
        <f t="array" aca="1" ref="AD36" ca="1">SUM(INDIRECT(ADDRESS(expenses_min_row,COLUMN())&amp;":"&amp; ADDRESS(expenses_max_row,COLUMN())))</f>
        <v>0</v>
      </c>
      <c r="AE36" s="17" cm="1">
        <f t="array" aca="1" ref="AE36" ca="1">SUM(INDIRECT(ADDRESS(expenses_min_row,COLUMN())&amp;":"&amp; ADDRESS(expenses_max_row,COLUMN())))</f>
        <v>0</v>
      </c>
      <c r="AG36" s="17" cm="1">
        <f t="array" aca="1" ref="AG36" ca="1">SUM(INDIRECT(ADDRESS(expenses_min_row,COLUMN())&amp;":"&amp; ADDRESS(expenses_max_row,COLUMN())))</f>
        <v>0</v>
      </c>
      <c r="AH36" s="17" cm="1">
        <f t="array" aca="1" ref="AH36" ca="1">SUM(INDIRECT(ADDRESS(expenses_min_row,COLUMN())&amp;":"&amp; ADDRESS(expenses_max_row,COLUMN())))</f>
        <v>0</v>
      </c>
      <c r="AI36" s="17" cm="1">
        <f t="array" aca="1" ref="AI36" ca="1">SUM(INDIRECT(ADDRESS(expenses_min_row,COLUMN())&amp;":"&amp; ADDRESS(expenses_max_row,COLUMN())))</f>
        <v>0</v>
      </c>
      <c r="AJ36" s="17" cm="1">
        <f t="array" aca="1" ref="AJ36" ca="1">SUM(INDIRECT(ADDRESS(expenses_min_row,COLUMN())&amp;":"&amp; ADDRESS(expenses_max_row,COLUMN())))</f>
        <v>0</v>
      </c>
      <c r="AK36" s="17" cm="1">
        <f t="array" aca="1" ref="AK36" ca="1">SUM(INDIRECT(ADDRESS(expenses_min_row,COLUMN())&amp;":"&amp; ADDRESS(expenses_max_row,COLUMN())))</f>
        <v>0</v>
      </c>
      <c r="AL36" s="17" cm="1">
        <f t="array" aca="1" ref="AL36" ca="1">SUM(INDIRECT(ADDRESS(expenses_min_row,COLUMN())&amp;":"&amp; ADDRESS(expenses_max_row,COLUMN())))</f>
        <v>0</v>
      </c>
      <c r="AM36" s="17" cm="1">
        <f t="array" aca="1" ref="AM36" ca="1">SUM(INDIRECT(ADDRESS(expenses_min_row,COLUMN())&amp;":"&amp; ADDRESS(expenses_max_row,COLUMN())))</f>
        <v>0</v>
      </c>
      <c r="AN36" s="17" cm="1">
        <f t="array" aca="1" ref="AN36" ca="1">SUM(INDIRECT(ADDRESS(expenses_min_row,COLUMN())&amp;":"&amp; ADDRESS(expenses_max_row,COLUMN())))</f>
        <v>0</v>
      </c>
      <c r="AO36" s="17" cm="1">
        <f t="array" aca="1" ref="AO36" ca="1">SUM(INDIRECT(ADDRESS(expenses_min_row,COLUMN())&amp;":"&amp; ADDRESS(expenses_max_row,COLUMN())))</f>
        <v>0</v>
      </c>
      <c r="AP36" s="17" cm="1">
        <f t="array" aca="1" ref="AP36" ca="1">SUM(INDIRECT(ADDRESS(expenses_min_row,COLUMN())&amp;":"&amp; ADDRESS(expenses_max_row,COLUMN())))</f>
        <v>0</v>
      </c>
      <c r="AQ36" s="17" cm="1">
        <f t="array" aca="1" ref="AQ36" ca="1">SUM(INDIRECT(ADDRESS(expenses_min_row,COLUMN())&amp;":"&amp; ADDRESS(expenses_max_row,COLUMN())))</f>
        <v>0</v>
      </c>
      <c r="AR36" s="17" cm="1">
        <f t="array" aca="1" ref="AR36" ca="1">SUM(INDIRECT(ADDRESS(expenses_min_row,COLUMN())&amp;":"&amp; ADDRESS(expenses_max_row,COLUMN())))</f>
        <v>0</v>
      </c>
      <c r="AS36" s="17" cm="1">
        <f t="array" aca="1" ref="AS36" ca="1">SUM(INDIRECT(ADDRESS(expenses_min_row,COLUMN())&amp;":"&amp; ADDRESS(expenses_max_row,COLUMN())))</f>
        <v>0</v>
      </c>
      <c r="AU36" s="17" cm="1">
        <f t="array" aca="1" ref="AU36" ca="1">SUM(INDIRECT(ADDRESS(expenses_min_row,COLUMN())&amp;":"&amp; ADDRESS(expenses_max_row,COLUMN())))</f>
        <v>0</v>
      </c>
      <c r="AV36" s="17" cm="1">
        <f t="array" aca="1" ref="AV36" ca="1">SUM(INDIRECT(ADDRESS(expenses_min_row,COLUMN())&amp;":"&amp; ADDRESS(expenses_max_row,COLUMN())))</f>
        <v>0</v>
      </c>
      <c r="AW36" s="17" cm="1">
        <f t="array" aca="1" ref="AW36" ca="1">SUM(INDIRECT(ADDRESS(expenses_min_row,COLUMN())&amp;":"&amp; ADDRESS(expenses_max_row,COLUMN())))</f>
        <v>0</v>
      </c>
      <c r="AX36" s="17" cm="1">
        <f t="array" aca="1" ref="AX36" ca="1">SUM(INDIRECT(ADDRESS(expenses_min_row,COLUMN())&amp;":"&amp; ADDRESS(expenses_max_row,COLUMN())))</f>
        <v>0</v>
      </c>
      <c r="AY36" s="17" cm="1">
        <f t="array" aca="1" ref="AY36" ca="1">SUM(INDIRECT(ADDRESS(expenses_min_row,COLUMN())&amp;":"&amp; ADDRESS(expenses_max_row,COLUMN())))</f>
        <v>0</v>
      </c>
      <c r="AZ36" s="17" cm="1">
        <f t="array" aca="1" ref="AZ36" ca="1">SUM(INDIRECT(ADDRESS(expenses_min_row,COLUMN())&amp;":"&amp; ADDRESS(expenses_max_row,COLUMN())))</f>
        <v>0</v>
      </c>
      <c r="BA36" s="17" cm="1">
        <f t="array" aca="1" ref="BA36" ca="1">SUM(INDIRECT(ADDRESS(expenses_min_row,COLUMN())&amp;":"&amp; ADDRESS(expenses_max_row,COLUMN())))</f>
        <v>0</v>
      </c>
      <c r="BB36" s="17" cm="1">
        <f t="array" aca="1" ref="BB36" ca="1">SUM(INDIRECT(ADDRESS(expenses_min_row,COLUMN())&amp;":"&amp; ADDRESS(expenses_max_row,COLUMN())))</f>
        <v>0</v>
      </c>
      <c r="BC36" s="17" cm="1">
        <f t="array" aca="1" ref="BC36" ca="1">SUM(INDIRECT(ADDRESS(expenses_min_row,COLUMN())&amp;":"&amp; ADDRESS(expenses_max_row,COLUMN())))</f>
        <v>0</v>
      </c>
      <c r="BD36" s="17" cm="1">
        <f t="array" aca="1" ref="BD36" ca="1">SUM(INDIRECT(ADDRESS(expenses_min_row,COLUMN())&amp;":"&amp; ADDRESS(expenses_max_row,COLUMN())))</f>
        <v>0</v>
      </c>
      <c r="BE36" s="17" cm="1">
        <f t="array" aca="1" ref="BE36" ca="1">SUM(INDIRECT(ADDRESS(expenses_min_row,COLUMN())&amp;":"&amp; ADDRESS(expenses_max_row,COLUMN())))</f>
        <v>0</v>
      </c>
      <c r="BF36" s="17" cm="1">
        <f t="array" aca="1" ref="BF36" ca="1">SUM(INDIRECT(ADDRESS(expenses_min_row,COLUMN())&amp;":"&amp; ADDRESS(expenses_max_row,COLUMN())))</f>
        <v>0</v>
      </c>
      <c r="BG36" s="17" cm="1">
        <f t="array" aca="1" ref="BG36" ca="1">SUM(INDIRECT(ADDRESS(expenses_min_row,COLUMN())&amp;":"&amp; ADDRESS(expenses_max_row,COLUMN())))</f>
        <v>0</v>
      </c>
      <c r="BI36" s="17" cm="1">
        <f t="array" aca="1" ref="BI36" ca="1">SUM(INDIRECT(ADDRESS(expenses_min_row,COLUMN())&amp;":"&amp; ADDRESS(expenses_max_row,COLUMN())))</f>
        <v>0</v>
      </c>
      <c r="BJ36" s="17" cm="1">
        <f t="array" aca="1" ref="BJ36" ca="1">SUM(INDIRECT(ADDRESS(expenses_min_row,COLUMN())&amp;":"&amp; ADDRESS(expenses_max_row,COLUMN())))</f>
        <v>0</v>
      </c>
      <c r="BK36" s="17" cm="1">
        <f t="array" aca="1" ref="BK36" ca="1">SUM(INDIRECT(ADDRESS(expenses_min_row,COLUMN())&amp;":"&amp; ADDRESS(expenses_max_row,COLUMN())))</f>
        <v>0</v>
      </c>
      <c r="BL36" s="17" cm="1">
        <f t="array" aca="1" ref="BL36" ca="1">SUM(INDIRECT(ADDRESS(expenses_min_row,COLUMN())&amp;":"&amp; ADDRESS(expenses_max_row,COLUMN())))</f>
        <v>0</v>
      </c>
      <c r="BM36" s="17" cm="1">
        <f t="array" aca="1" ref="BM36" ca="1">SUM(INDIRECT(ADDRESS(expenses_min_row,COLUMN())&amp;":"&amp; ADDRESS(expenses_max_row,COLUMN())))</f>
        <v>0</v>
      </c>
      <c r="BN36" s="17" cm="1">
        <f t="array" aca="1" ref="BN36" ca="1">SUM(INDIRECT(ADDRESS(expenses_min_row,COLUMN())&amp;":"&amp; ADDRESS(expenses_max_row,COLUMN())))</f>
        <v>0</v>
      </c>
      <c r="BO36" s="17" cm="1">
        <f t="array" aca="1" ref="BO36" ca="1">SUM(INDIRECT(ADDRESS(expenses_min_row,COLUMN())&amp;":"&amp; ADDRESS(expenses_max_row,COLUMN())))</f>
        <v>0</v>
      </c>
      <c r="BP36" s="17" cm="1">
        <f t="array" aca="1" ref="BP36" ca="1">SUM(INDIRECT(ADDRESS(expenses_min_row,COLUMN())&amp;":"&amp; ADDRESS(expenses_max_row,COLUMN())))</f>
        <v>0</v>
      </c>
      <c r="BQ36" s="17" cm="1">
        <f t="array" aca="1" ref="BQ36" ca="1">SUM(INDIRECT(ADDRESS(expenses_min_row,COLUMN())&amp;":"&amp; ADDRESS(expenses_max_row,COLUMN())))</f>
        <v>0</v>
      </c>
      <c r="BR36" s="17" cm="1">
        <f t="array" aca="1" ref="BR36" ca="1">SUM(INDIRECT(ADDRESS(expenses_min_row,COLUMN())&amp;":"&amp; ADDRESS(expenses_max_row,COLUMN())))</f>
        <v>0</v>
      </c>
      <c r="BS36" s="17" cm="1">
        <f t="array" aca="1" ref="BS36" ca="1">SUM(INDIRECT(ADDRESS(expenses_min_row,COLUMN())&amp;":"&amp; ADDRESS(expenses_max_row,COLUMN())))</f>
        <v>0</v>
      </c>
      <c r="BT36" s="17" cm="1">
        <f t="array" aca="1" ref="BT36" ca="1">SUM(INDIRECT(ADDRESS(expenses_min_row,COLUMN())&amp;":"&amp; ADDRESS(expenses_max_row,COLUMN())))</f>
        <v>0</v>
      </c>
      <c r="BU36" s="17" cm="1">
        <f t="array" aca="1" ref="BU36" ca="1">SUM(INDIRECT(ADDRESS(expenses_min_row,COLUMN())&amp;":"&amp; ADDRESS(expenses_max_row,COLUMN())))</f>
        <v>0</v>
      </c>
      <c r="BW36" s="17" cm="1">
        <f t="array" aca="1" ref="BW36" ca="1">SUM(INDIRECT(ADDRESS(expenses_min_row,COLUMN())&amp;":"&amp; ADDRESS(expenses_max_row,COLUMN())))</f>
        <v>0</v>
      </c>
      <c r="BX36" s="17" cm="1">
        <f t="array" aca="1" ref="BX36" ca="1">SUM(INDIRECT(ADDRESS(expenses_min_row,COLUMN())&amp;":"&amp; ADDRESS(expenses_max_row,COLUMN())))</f>
        <v>0</v>
      </c>
      <c r="BY36" s="17" cm="1">
        <f t="array" aca="1" ref="BY36" ca="1">SUM(INDIRECT(ADDRESS(expenses_min_row,COLUMN())&amp;":"&amp; ADDRESS(expenses_max_row,COLUMN())))</f>
        <v>0</v>
      </c>
      <c r="BZ36" s="17" cm="1">
        <f t="array" aca="1" ref="BZ36" ca="1">SUM(INDIRECT(ADDRESS(expenses_min_row,COLUMN())&amp;":"&amp; ADDRESS(expenses_max_row,COLUMN())))</f>
        <v>0</v>
      </c>
      <c r="CA36" s="17" cm="1">
        <f t="array" aca="1" ref="CA36" ca="1">SUM(INDIRECT(ADDRESS(expenses_min_row,COLUMN())&amp;":"&amp; ADDRESS(expenses_max_row,COLUMN())))</f>
        <v>0</v>
      </c>
      <c r="CB36" s="17" cm="1">
        <f t="array" aca="1" ref="CB36" ca="1">SUM(INDIRECT(ADDRESS(expenses_min_row,COLUMN())&amp;":"&amp; ADDRESS(expenses_max_row,COLUMN())))</f>
        <v>0</v>
      </c>
      <c r="CC36" s="17" cm="1">
        <f t="array" aca="1" ref="CC36" ca="1">SUM(INDIRECT(ADDRESS(expenses_min_row,COLUMN())&amp;":"&amp; ADDRESS(expenses_max_row,COLUMN())))</f>
        <v>0</v>
      </c>
      <c r="CD36" s="17" cm="1">
        <f t="array" aca="1" ref="CD36" ca="1">SUM(INDIRECT(ADDRESS(expenses_min_row,COLUMN())&amp;":"&amp; ADDRESS(expenses_max_row,COLUMN())))</f>
        <v>0</v>
      </c>
      <c r="CE36" s="17" cm="1">
        <f t="array" aca="1" ref="CE36" ca="1">SUM(INDIRECT(ADDRESS(expenses_min_row,COLUMN())&amp;":"&amp; ADDRESS(expenses_max_row,COLUMN())))</f>
        <v>0</v>
      </c>
      <c r="CF36" s="17" cm="1">
        <f t="array" aca="1" ref="CF36" ca="1">SUM(INDIRECT(ADDRESS(expenses_min_row,COLUMN())&amp;":"&amp; ADDRESS(expenses_max_row,COLUMN())))</f>
        <v>0</v>
      </c>
      <c r="CG36" s="17" cm="1">
        <f t="array" aca="1" ref="CG36" ca="1">SUM(INDIRECT(ADDRESS(expenses_min_row,COLUMN())&amp;":"&amp; ADDRESS(expenses_max_row,COLUMN())))</f>
        <v>0</v>
      </c>
      <c r="CH36" s="17" cm="1">
        <f t="array" aca="1" ref="CH36" ca="1">SUM(INDIRECT(ADDRESS(expenses_min_row,COLUMN())&amp;":"&amp; ADDRESS(expenses_max_row,COLUMN())))</f>
        <v>0</v>
      </c>
      <c r="CI36" s="17" cm="1">
        <f t="array" aca="1" ref="CI36" ca="1">SUM(INDIRECT(ADDRESS(expenses_min_row,COLUMN())&amp;":"&amp; ADDRESS(expenses_max_row,COLUMN())))</f>
        <v>0</v>
      </c>
      <c r="CK36" s="17" cm="1">
        <f t="array" aca="1" ref="CK36" ca="1">SUM(INDIRECT(ADDRESS(expenses_min_row,COLUMN())&amp;":"&amp; ADDRESS(expenses_max_row,COLUMN())))</f>
        <v>0</v>
      </c>
      <c r="CL36" s="17" cm="1">
        <f t="array" aca="1" ref="CL36" ca="1">SUM(INDIRECT(ADDRESS(expenses_min_row,COLUMN())&amp;":"&amp; ADDRESS(expenses_max_row,COLUMN())))</f>
        <v>0</v>
      </c>
      <c r="CM36" s="17" cm="1">
        <f t="array" aca="1" ref="CM36" ca="1">SUM(INDIRECT(ADDRESS(expenses_min_row,COLUMN())&amp;":"&amp; ADDRESS(expenses_max_row,COLUMN())))</f>
        <v>0</v>
      </c>
      <c r="CN36" s="17" cm="1">
        <f t="array" aca="1" ref="CN36" ca="1">SUM(INDIRECT(ADDRESS(expenses_min_row,COLUMN())&amp;":"&amp; ADDRESS(expenses_max_row,COLUMN())))</f>
        <v>0</v>
      </c>
      <c r="CO36" s="17" cm="1">
        <f t="array" aca="1" ref="CO36" ca="1">SUM(INDIRECT(ADDRESS(expenses_min_row,COLUMN())&amp;":"&amp; ADDRESS(expenses_max_row,COLUMN())))</f>
        <v>0</v>
      </c>
      <c r="CP36" s="17" cm="1">
        <f t="array" aca="1" ref="CP36" ca="1">SUM(INDIRECT(ADDRESS(expenses_min_row,COLUMN())&amp;":"&amp; ADDRESS(expenses_max_row,COLUMN())))</f>
        <v>0</v>
      </c>
      <c r="CQ36" s="17" cm="1">
        <f t="array" aca="1" ref="CQ36" ca="1">SUM(INDIRECT(ADDRESS(expenses_min_row,COLUMN())&amp;":"&amp; ADDRESS(expenses_max_row,COLUMN())))</f>
        <v>0</v>
      </c>
      <c r="CR36" s="17" cm="1">
        <f t="array" aca="1" ref="CR36" ca="1">SUM(INDIRECT(ADDRESS(expenses_min_row,COLUMN())&amp;":"&amp; ADDRESS(expenses_max_row,COLUMN())))</f>
        <v>0</v>
      </c>
      <c r="CS36" s="17" cm="1">
        <f t="array" aca="1" ref="CS36" ca="1">SUM(INDIRECT(ADDRESS(expenses_min_row,COLUMN())&amp;":"&amp; ADDRESS(expenses_max_row,COLUMN())))</f>
        <v>0</v>
      </c>
      <c r="CT36" s="17" cm="1">
        <f t="array" aca="1" ref="CT36" ca="1">SUM(INDIRECT(ADDRESS(expenses_min_row,COLUMN())&amp;":"&amp; ADDRESS(expenses_max_row,COLUMN())))</f>
        <v>0</v>
      </c>
      <c r="CU36" s="17" cm="1">
        <f t="array" aca="1" ref="CU36" ca="1">SUM(INDIRECT(ADDRESS(expenses_min_row,COLUMN())&amp;":"&amp; ADDRESS(expenses_max_row,COLUMN())))</f>
        <v>0</v>
      </c>
      <c r="CV36" s="17" cm="1">
        <f t="array" aca="1" ref="CV36" ca="1">SUM(INDIRECT(ADDRESS(expenses_min_row,COLUMN())&amp;":"&amp; ADDRESS(expenses_max_row,COLUMN())))</f>
        <v>0</v>
      </c>
      <c r="CW36" s="17" cm="1">
        <f t="array" aca="1" ref="CW36" ca="1">SUM(INDIRECT(ADDRESS(expenses_min_row,COLUMN())&amp;":"&amp; ADDRESS(expenses_max_row,COLUMN())))</f>
        <v>0</v>
      </c>
      <c r="CY36" s="17" cm="1">
        <f t="array" aca="1" ref="CY36" ca="1">SUM(INDIRECT(ADDRESS(expenses_min_row,COLUMN())&amp;":"&amp; ADDRESS(expenses_max_row,COLUMN())))</f>
        <v>0</v>
      </c>
      <c r="CZ36" s="17" cm="1">
        <f t="array" aca="1" ref="CZ36" ca="1">SUM(INDIRECT(ADDRESS(expenses_min_row,COLUMN())&amp;":"&amp; ADDRESS(expenses_max_row,COLUMN())))</f>
        <v>0</v>
      </c>
      <c r="DA36" s="17" cm="1">
        <f t="array" aca="1" ref="DA36" ca="1">SUM(INDIRECT(ADDRESS(expenses_min_row,COLUMN())&amp;":"&amp; ADDRESS(expenses_max_row,COLUMN())))</f>
        <v>0</v>
      </c>
      <c r="DB36" s="17" cm="1">
        <f t="array" aca="1" ref="DB36" ca="1">SUM(INDIRECT(ADDRESS(expenses_min_row,COLUMN())&amp;":"&amp; ADDRESS(expenses_max_row,COLUMN())))</f>
        <v>0</v>
      </c>
      <c r="DC36" s="17" cm="1">
        <f t="array" aca="1" ref="DC36" ca="1">SUM(INDIRECT(ADDRESS(expenses_min_row,COLUMN())&amp;":"&amp; ADDRESS(expenses_max_row,COLUMN())))</f>
        <v>0</v>
      </c>
      <c r="DD36" s="17" cm="1">
        <f t="array" aca="1" ref="DD36" ca="1">SUM(INDIRECT(ADDRESS(expenses_min_row,COLUMN())&amp;":"&amp; ADDRESS(expenses_max_row,COLUMN())))</f>
        <v>0</v>
      </c>
      <c r="DE36" s="17" cm="1">
        <f t="array" aca="1" ref="DE36" ca="1">SUM(INDIRECT(ADDRESS(expenses_min_row,COLUMN())&amp;":"&amp; ADDRESS(expenses_max_row,COLUMN())))</f>
        <v>0</v>
      </c>
      <c r="DF36" s="17" cm="1">
        <f t="array" aca="1" ref="DF36" ca="1">SUM(INDIRECT(ADDRESS(expenses_min_row,COLUMN())&amp;":"&amp; ADDRESS(expenses_max_row,COLUMN())))</f>
        <v>0</v>
      </c>
      <c r="DG36" s="17" cm="1">
        <f t="array" aca="1" ref="DG36" ca="1">SUM(INDIRECT(ADDRESS(expenses_min_row,COLUMN())&amp;":"&amp; ADDRESS(expenses_max_row,COLUMN())))</f>
        <v>0</v>
      </c>
      <c r="DH36" s="17" cm="1">
        <f t="array" aca="1" ref="DH36" ca="1">SUM(INDIRECT(ADDRESS(expenses_min_row,COLUMN())&amp;":"&amp; ADDRESS(expenses_max_row,COLUMN())))</f>
        <v>0</v>
      </c>
      <c r="DI36" s="17" cm="1">
        <f t="array" aca="1" ref="DI36" ca="1">SUM(INDIRECT(ADDRESS(expenses_min_row,COLUMN())&amp;":"&amp; ADDRESS(expenses_max_row,COLUMN())))</f>
        <v>0</v>
      </c>
      <c r="DJ36" s="17" cm="1">
        <f t="array" aca="1" ref="DJ36" ca="1">SUM(INDIRECT(ADDRESS(expenses_min_row,COLUMN())&amp;":"&amp; ADDRESS(expenses_max_row,COLUMN())))</f>
        <v>0</v>
      </c>
      <c r="DK36" s="17" cm="1">
        <f t="array" aca="1" ref="DK36" ca="1">SUM(INDIRECT(ADDRESS(expenses_min_row,COLUMN())&amp;":"&amp; ADDRESS(expenses_max_row,COLUMN())))</f>
        <v>0</v>
      </c>
      <c r="DM36" s="17" cm="1">
        <f t="array" aca="1" ref="DM36" ca="1">SUM(INDIRECT(ADDRESS(expenses_min_row,COLUMN())&amp;":"&amp; ADDRESS(expenses_max_row,COLUMN())))</f>
        <v>0</v>
      </c>
      <c r="DN36" s="17" cm="1">
        <f t="array" aca="1" ref="DN36" ca="1">SUM(INDIRECT(ADDRESS(expenses_min_row,COLUMN())&amp;":"&amp; ADDRESS(expenses_max_row,COLUMN())))</f>
        <v>0</v>
      </c>
      <c r="DO36" s="17" cm="1">
        <f t="array" aca="1" ref="DO36" ca="1">SUM(INDIRECT(ADDRESS(expenses_min_row,COLUMN())&amp;":"&amp; ADDRESS(expenses_max_row,COLUMN())))</f>
        <v>0</v>
      </c>
      <c r="DP36" s="17" cm="1">
        <f t="array" aca="1" ref="DP36" ca="1">SUM(INDIRECT(ADDRESS(expenses_min_row,COLUMN())&amp;":"&amp; ADDRESS(expenses_max_row,COLUMN())))</f>
        <v>0</v>
      </c>
      <c r="DQ36" s="17" cm="1">
        <f t="array" aca="1" ref="DQ36" ca="1">SUM(INDIRECT(ADDRESS(expenses_min_row,COLUMN())&amp;":"&amp; ADDRESS(expenses_max_row,COLUMN())))</f>
        <v>0</v>
      </c>
      <c r="DR36" s="17" cm="1">
        <f t="array" aca="1" ref="DR36" ca="1">SUM(INDIRECT(ADDRESS(expenses_min_row,COLUMN())&amp;":"&amp; ADDRESS(expenses_max_row,COLUMN())))</f>
        <v>0</v>
      </c>
      <c r="DS36" s="17" cm="1">
        <f t="array" aca="1" ref="DS36" ca="1">SUM(INDIRECT(ADDRESS(expenses_min_row,COLUMN())&amp;":"&amp; ADDRESS(expenses_max_row,COLUMN())))</f>
        <v>0</v>
      </c>
      <c r="DT36" s="17" cm="1">
        <f t="array" aca="1" ref="DT36" ca="1">SUM(INDIRECT(ADDRESS(expenses_min_row,COLUMN())&amp;":"&amp; ADDRESS(expenses_max_row,COLUMN())))</f>
        <v>0</v>
      </c>
      <c r="DU36" s="17" cm="1">
        <f t="array" aca="1" ref="DU36" ca="1">SUM(INDIRECT(ADDRESS(expenses_min_row,COLUMN())&amp;":"&amp; ADDRESS(expenses_max_row,COLUMN())))</f>
        <v>0</v>
      </c>
      <c r="DV36" s="17" cm="1">
        <f t="array" aca="1" ref="DV36" ca="1">SUM(INDIRECT(ADDRESS(expenses_min_row,COLUMN())&amp;":"&amp; ADDRESS(expenses_max_row,COLUMN())))</f>
        <v>0</v>
      </c>
      <c r="DW36" s="17" cm="1">
        <f t="array" aca="1" ref="DW36" ca="1">SUM(INDIRECT(ADDRESS(expenses_min_row,COLUMN())&amp;":"&amp; ADDRESS(expenses_max_row,COLUMN())))</f>
        <v>0</v>
      </c>
      <c r="DX36" s="17" cm="1">
        <f t="array" aca="1" ref="DX36" ca="1">SUM(INDIRECT(ADDRESS(expenses_min_row,COLUMN())&amp;":"&amp; ADDRESS(expenses_max_row,COLUMN())))</f>
        <v>0</v>
      </c>
      <c r="DY36" s="17" cm="1">
        <f t="array" aca="1" ref="DY36" ca="1">SUM(INDIRECT(ADDRESS(expenses_min_row,COLUMN())&amp;":"&amp; ADDRESS(expenses_max_row,COLUMN())))</f>
        <v>0</v>
      </c>
      <c r="EA36" s="17" cm="1">
        <f t="array" aca="1" ref="EA36" ca="1">SUM(INDIRECT(ADDRESS(expenses_min_row,COLUMN())&amp;":"&amp; ADDRESS(expenses_max_row,COLUMN())))</f>
        <v>0</v>
      </c>
      <c r="EB36" s="17" cm="1">
        <f t="array" aca="1" ref="EB36" ca="1">SUM(INDIRECT(ADDRESS(expenses_min_row,COLUMN())&amp;":"&amp; ADDRESS(expenses_max_row,COLUMN())))</f>
        <v>0</v>
      </c>
      <c r="EC36" s="17" cm="1">
        <f t="array" aca="1" ref="EC36" ca="1">SUM(INDIRECT(ADDRESS(expenses_min_row,COLUMN())&amp;":"&amp; ADDRESS(expenses_max_row,COLUMN())))</f>
        <v>0</v>
      </c>
      <c r="ED36" s="17" cm="1">
        <f t="array" aca="1" ref="ED36" ca="1">SUM(INDIRECT(ADDRESS(expenses_min_row,COLUMN())&amp;":"&amp; ADDRESS(expenses_max_row,COLUMN())))</f>
        <v>0</v>
      </c>
      <c r="EE36" s="17" cm="1">
        <f t="array" aca="1" ref="EE36" ca="1">SUM(INDIRECT(ADDRESS(expenses_min_row,COLUMN())&amp;":"&amp; ADDRESS(expenses_max_row,COLUMN())))</f>
        <v>0</v>
      </c>
      <c r="EF36" s="17" cm="1">
        <f t="array" aca="1" ref="EF36" ca="1">SUM(INDIRECT(ADDRESS(expenses_min_row,COLUMN())&amp;":"&amp; ADDRESS(expenses_max_row,COLUMN())))</f>
        <v>0</v>
      </c>
      <c r="EG36" s="17" cm="1">
        <f t="array" aca="1" ref="EG36" ca="1">SUM(INDIRECT(ADDRESS(expenses_min_row,COLUMN())&amp;":"&amp; ADDRESS(expenses_max_row,COLUMN())))</f>
        <v>0</v>
      </c>
      <c r="EH36" s="17" cm="1">
        <f t="array" aca="1" ref="EH36" ca="1">SUM(INDIRECT(ADDRESS(expenses_min_row,COLUMN())&amp;":"&amp; ADDRESS(expenses_max_row,COLUMN())))</f>
        <v>0</v>
      </c>
      <c r="EI36" s="17" cm="1">
        <f t="array" aca="1" ref="EI36" ca="1">SUM(INDIRECT(ADDRESS(expenses_min_row,COLUMN())&amp;":"&amp; ADDRESS(expenses_max_row,COLUMN())))</f>
        <v>0</v>
      </c>
      <c r="EJ36" s="17" cm="1">
        <f t="array" aca="1" ref="EJ36" ca="1">SUM(INDIRECT(ADDRESS(expenses_min_row,COLUMN())&amp;":"&amp; ADDRESS(expenses_max_row,COLUMN())))</f>
        <v>0</v>
      </c>
      <c r="EK36" s="17" cm="1">
        <f t="array" aca="1" ref="EK36" ca="1">SUM(INDIRECT(ADDRESS(expenses_min_row,COLUMN())&amp;":"&amp; ADDRESS(expenses_max_row,COLUMN())))</f>
        <v>0</v>
      </c>
      <c r="EL36" s="17" cm="1">
        <f t="array" aca="1" ref="EL36" ca="1">SUM(INDIRECT(ADDRESS(expenses_min_row,COLUMN())&amp;":"&amp; ADDRESS(expenses_max_row,COLUMN())))</f>
        <v>0</v>
      </c>
      <c r="EM36" s="17" cm="1">
        <f t="array" aca="1" ref="EM36" ca="1">SUM(INDIRECT(ADDRESS(expenses_min_row,COLUMN())&amp;":"&amp; ADDRESS(expenses_max_row,COLUMN())))</f>
        <v>0</v>
      </c>
    </row>
    <row r="38" spans="3:143" x14ac:dyDescent="0.3">
      <c r="C38" s="11" t="s">
        <v>15</v>
      </c>
      <c r="E38" s="20">
        <f>DATE(E$5,1,1)</f>
        <v>45658</v>
      </c>
      <c r="F38" s="20">
        <f>DATE(E$5,2,1)</f>
        <v>45689</v>
      </c>
      <c r="G38" s="20">
        <f>DATE(E$5,3,1)</f>
        <v>45717</v>
      </c>
      <c r="H38" s="20">
        <f>DATE(E$5,4,1)</f>
        <v>45748</v>
      </c>
      <c r="I38" s="20">
        <f>DATE(E$5,5,1)</f>
        <v>45778</v>
      </c>
      <c r="J38" s="20">
        <f>DATE(E$5,6,1)</f>
        <v>45809</v>
      </c>
      <c r="K38" s="20">
        <f>DATE(E$5,7,1)</f>
        <v>45839</v>
      </c>
      <c r="L38" s="20">
        <f>DATE(E$5,8,1)</f>
        <v>45870</v>
      </c>
      <c r="M38" s="20">
        <f>DATE(E$5,9,1)</f>
        <v>45901</v>
      </c>
      <c r="N38" s="20">
        <f>DATE(E$5,10,1)</f>
        <v>45931</v>
      </c>
      <c r="O38" s="20">
        <f>DATE(E$5,11,1)</f>
        <v>45962</v>
      </c>
      <c r="P38" s="20">
        <f>DATE(E$5,12,1)</f>
        <v>45992</v>
      </c>
      <c r="Q38" s="21">
        <f>E$5</f>
        <v>2025</v>
      </c>
      <c r="S38" s="20">
        <f>DATE(S$5,1,1)</f>
        <v>46023</v>
      </c>
      <c r="T38" s="20">
        <f>DATE(S$5,2,1)</f>
        <v>46054</v>
      </c>
      <c r="U38" s="20">
        <f>DATE(S$5,3,1)</f>
        <v>46082</v>
      </c>
      <c r="V38" s="20">
        <f>DATE(S$5,4,1)</f>
        <v>46113</v>
      </c>
      <c r="W38" s="20">
        <f>DATE(S$5,5,1)</f>
        <v>46143</v>
      </c>
      <c r="X38" s="20">
        <f>DATE(S$5,6,1)</f>
        <v>46174</v>
      </c>
      <c r="Y38" s="20">
        <f>DATE(S$5,7,1)</f>
        <v>46204</v>
      </c>
      <c r="Z38" s="20">
        <f>DATE(S$5,8,1)</f>
        <v>46235</v>
      </c>
      <c r="AA38" s="20">
        <f>DATE(S$5,9,1)</f>
        <v>46266</v>
      </c>
      <c r="AB38" s="20">
        <f>DATE(S$5,10,1)</f>
        <v>46296</v>
      </c>
      <c r="AC38" s="20">
        <f>DATE(S$5,11,1)</f>
        <v>46327</v>
      </c>
      <c r="AD38" s="20">
        <f>DATE(S$5,12,1)</f>
        <v>46357</v>
      </c>
      <c r="AE38" s="21">
        <f>S$5</f>
        <v>2026</v>
      </c>
      <c r="AG38" s="20">
        <f t="shared" ref="AG38" si="371">DATE(AG$5,1,1)</f>
        <v>46388</v>
      </c>
      <c r="AH38" s="20">
        <f t="shared" ref="AH38" si="372">DATE(AG$5,2,1)</f>
        <v>46419</v>
      </c>
      <c r="AI38" s="20">
        <f t="shared" ref="AI38" si="373">DATE(AG$5,3,1)</f>
        <v>46447</v>
      </c>
      <c r="AJ38" s="20">
        <f t="shared" ref="AJ38" si="374">DATE(AG$5,4,1)</f>
        <v>46478</v>
      </c>
      <c r="AK38" s="20">
        <f t="shared" ref="AK38" si="375">DATE(AG$5,5,1)</f>
        <v>46508</v>
      </c>
      <c r="AL38" s="20">
        <f t="shared" ref="AL38" si="376">DATE(AG$5,6,1)</f>
        <v>46539</v>
      </c>
      <c r="AM38" s="20">
        <f t="shared" ref="AM38" si="377">DATE(AG$5,7,1)</f>
        <v>46569</v>
      </c>
      <c r="AN38" s="20">
        <f t="shared" ref="AN38" si="378">DATE(AG$5,8,1)</f>
        <v>46600</v>
      </c>
      <c r="AO38" s="20">
        <f t="shared" ref="AO38" si="379">DATE(AG$5,9,1)</f>
        <v>46631</v>
      </c>
      <c r="AP38" s="20">
        <f t="shared" ref="AP38" si="380">DATE(AG$5,10,1)</f>
        <v>46661</v>
      </c>
      <c r="AQ38" s="20">
        <f t="shared" ref="AQ38" si="381">DATE(AG$5,11,1)</f>
        <v>46692</v>
      </c>
      <c r="AR38" s="20">
        <f t="shared" ref="AR38" si="382">DATE(AG$5,12,1)</f>
        <v>46722</v>
      </c>
      <c r="AS38" s="21">
        <f t="shared" ref="AS38" si="383">AG$5</f>
        <v>2027</v>
      </c>
      <c r="AU38" s="20">
        <f t="shared" ref="AU38" si="384">DATE(AU$5,1,1)</f>
        <v>46753</v>
      </c>
      <c r="AV38" s="20">
        <f t="shared" ref="AV38" si="385">DATE(AU$5,2,1)</f>
        <v>46784</v>
      </c>
      <c r="AW38" s="20">
        <f t="shared" ref="AW38" si="386">DATE(AU$5,3,1)</f>
        <v>46813</v>
      </c>
      <c r="AX38" s="20">
        <f t="shared" ref="AX38" si="387">DATE(AU$5,4,1)</f>
        <v>46844</v>
      </c>
      <c r="AY38" s="20">
        <f t="shared" ref="AY38" si="388">DATE(AU$5,5,1)</f>
        <v>46874</v>
      </c>
      <c r="AZ38" s="20">
        <f t="shared" ref="AZ38" si="389">DATE(AU$5,6,1)</f>
        <v>46905</v>
      </c>
      <c r="BA38" s="20">
        <f t="shared" ref="BA38" si="390">DATE(AU$5,7,1)</f>
        <v>46935</v>
      </c>
      <c r="BB38" s="20">
        <f t="shared" ref="BB38" si="391">DATE(AU$5,8,1)</f>
        <v>46966</v>
      </c>
      <c r="BC38" s="20">
        <f t="shared" ref="BC38" si="392">DATE(AU$5,9,1)</f>
        <v>46997</v>
      </c>
      <c r="BD38" s="20">
        <f t="shared" ref="BD38" si="393">DATE(AU$5,10,1)</f>
        <v>47027</v>
      </c>
      <c r="BE38" s="20">
        <f t="shared" ref="BE38" si="394">DATE(AU$5,11,1)</f>
        <v>47058</v>
      </c>
      <c r="BF38" s="20">
        <f t="shared" ref="BF38" si="395">DATE(AU$5,12,1)</f>
        <v>47088</v>
      </c>
      <c r="BG38" s="21">
        <f t="shared" ref="BG38" si="396">AU$5</f>
        <v>2028</v>
      </c>
      <c r="BI38" s="20">
        <f t="shared" ref="BI38" si="397">DATE(BI$5,1,1)</f>
        <v>47119</v>
      </c>
      <c r="BJ38" s="20">
        <f t="shared" ref="BJ38" si="398">DATE(BI$5,2,1)</f>
        <v>47150</v>
      </c>
      <c r="BK38" s="20">
        <f t="shared" ref="BK38" si="399">DATE(BI$5,3,1)</f>
        <v>47178</v>
      </c>
      <c r="BL38" s="20">
        <f t="shared" ref="BL38" si="400">DATE(BI$5,4,1)</f>
        <v>47209</v>
      </c>
      <c r="BM38" s="20">
        <f t="shared" ref="BM38" si="401">DATE(BI$5,5,1)</f>
        <v>47239</v>
      </c>
      <c r="BN38" s="20">
        <f t="shared" ref="BN38" si="402">DATE(BI$5,6,1)</f>
        <v>47270</v>
      </c>
      <c r="BO38" s="20">
        <f t="shared" ref="BO38" si="403">DATE(BI$5,7,1)</f>
        <v>47300</v>
      </c>
      <c r="BP38" s="20">
        <f t="shared" ref="BP38" si="404">DATE(BI$5,8,1)</f>
        <v>47331</v>
      </c>
      <c r="BQ38" s="20">
        <f t="shared" ref="BQ38" si="405">DATE(BI$5,9,1)</f>
        <v>47362</v>
      </c>
      <c r="BR38" s="20">
        <f t="shared" ref="BR38" si="406">DATE(BI$5,10,1)</f>
        <v>47392</v>
      </c>
      <c r="BS38" s="20">
        <f t="shared" ref="BS38" si="407">DATE(BI$5,11,1)</f>
        <v>47423</v>
      </c>
      <c r="BT38" s="20">
        <f t="shared" ref="BT38" si="408">DATE(BI$5,12,1)</f>
        <v>47453</v>
      </c>
      <c r="BU38" s="21">
        <f t="shared" ref="BU38" si="409">BI$5</f>
        <v>2029</v>
      </c>
      <c r="BW38" s="20">
        <f t="shared" ref="BW38" si="410">DATE(BW$5,1,1)</f>
        <v>47484</v>
      </c>
      <c r="BX38" s="20">
        <f t="shared" ref="BX38" si="411">DATE(BW$5,2,1)</f>
        <v>47515</v>
      </c>
      <c r="BY38" s="20">
        <f t="shared" ref="BY38" si="412">DATE(BW$5,3,1)</f>
        <v>47543</v>
      </c>
      <c r="BZ38" s="20">
        <f t="shared" ref="BZ38" si="413">DATE(BW$5,4,1)</f>
        <v>47574</v>
      </c>
      <c r="CA38" s="20">
        <f t="shared" ref="CA38" si="414">DATE(BW$5,5,1)</f>
        <v>47604</v>
      </c>
      <c r="CB38" s="20">
        <f t="shared" ref="CB38" si="415">DATE(BW$5,6,1)</f>
        <v>47635</v>
      </c>
      <c r="CC38" s="20">
        <f t="shared" ref="CC38" si="416">DATE(BW$5,7,1)</f>
        <v>47665</v>
      </c>
      <c r="CD38" s="20">
        <f t="shared" ref="CD38" si="417">DATE(BW$5,8,1)</f>
        <v>47696</v>
      </c>
      <c r="CE38" s="20">
        <f t="shared" ref="CE38" si="418">DATE(BW$5,9,1)</f>
        <v>47727</v>
      </c>
      <c r="CF38" s="20">
        <f t="shared" ref="CF38" si="419">DATE(BW$5,10,1)</f>
        <v>47757</v>
      </c>
      <c r="CG38" s="20">
        <f t="shared" ref="CG38" si="420">DATE(BW$5,11,1)</f>
        <v>47788</v>
      </c>
      <c r="CH38" s="20">
        <f t="shared" ref="CH38" si="421">DATE(BW$5,12,1)</f>
        <v>47818</v>
      </c>
      <c r="CI38" s="21">
        <f t="shared" ref="CI38" si="422">BW$5</f>
        <v>2030</v>
      </c>
      <c r="CK38" s="20">
        <f t="shared" ref="CK38" si="423">DATE(CK$5,1,1)</f>
        <v>47849</v>
      </c>
      <c r="CL38" s="20">
        <f t="shared" ref="CL38" si="424">DATE(CK$5,2,1)</f>
        <v>47880</v>
      </c>
      <c r="CM38" s="20">
        <f t="shared" ref="CM38" si="425">DATE(CK$5,3,1)</f>
        <v>47908</v>
      </c>
      <c r="CN38" s="20">
        <f t="shared" ref="CN38" si="426">DATE(CK$5,4,1)</f>
        <v>47939</v>
      </c>
      <c r="CO38" s="20">
        <f t="shared" ref="CO38" si="427">DATE(CK$5,5,1)</f>
        <v>47969</v>
      </c>
      <c r="CP38" s="20">
        <f t="shared" ref="CP38" si="428">DATE(CK$5,6,1)</f>
        <v>48000</v>
      </c>
      <c r="CQ38" s="20">
        <f t="shared" ref="CQ38" si="429">DATE(CK$5,7,1)</f>
        <v>48030</v>
      </c>
      <c r="CR38" s="20">
        <f t="shared" ref="CR38" si="430">DATE(CK$5,8,1)</f>
        <v>48061</v>
      </c>
      <c r="CS38" s="20">
        <f t="shared" ref="CS38" si="431">DATE(CK$5,9,1)</f>
        <v>48092</v>
      </c>
      <c r="CT38" s="20">
        <f t="shared" ref="CT38" si="432">DATE(CK$5,10,1)</f>
        <v>48122</v>
      </c>
      <c r="CU38" s="20">
        <f t="shared" ref="CU38" si="433">DATE(CK$5,11,1)</f>
        <v>48153</v>
      </c>
      <c r="CV38" s="20">
        <f t="shared" ref="CV38" si="434">DATE(CK$5,12,1)</f>
        <v>48183</v>
      </c>
      <c r="CW38" s="21">
        <f t="shared" ref="CW38" si="435">CK$5</f>
        <v>2031</v>
      </c>
      <c r="CY38" s="20">
        <f t="shared" ref="CY38" si="436">DATE(CY$5,1,1)</f>
        <v>48214</v>
      </c>
      <c r="CZ38" s="20">
        <f t="shared" ref="CZ38" si="437">DATE(CY$5,2,1)</f>
        <v>48245</v>
      </c>
      <c r="DA38" s="20">
        <f t="shared" ref="DA38" si="438">DATE(CY$5,3,1)</f>
        <v>48274</v>
      </c>
      <c r="DB38" s="20">
        <f t="shared" ref="DB38" si="439">DATE(CY$5,4,1)</f>
        <v>48305</v>
      </c>
      <c r="DC38" s="20">
        <f t="shared" ref="DC38" si="440">DATE(CY$5,5,1)</f>
        <v>48335</v>
      </c>
      <c r="DD38" s="20">
        <f t="shared" ref="DD38" si="441">DATE(CY$5,6,1)</f>
        <v>48366</v>
      </c>
      <c r="DE38" s="20">
        <f t="shared" ref="DE38" si="442">DATE(CY$5,7,1)</f>
        <v>48396</v>
      </c>
      <c r="DF38" s="20">
        <f t="shared" ref="DF38" si="443">DATE(CY$5,8,1)</f>
        <v>48427</v>
      </c>
      <c r="DG38" s="20">
        <f t="shared" ref="DG38" si="444">DATE(CY$5,9,1)</f>
        <v>48458</v>
      </c>
      <c r="DH38" s="20">
        <f t="shared" ref="DH38" si="445">DATE(CY$5,10,1)</f>
        <v>48488</v>
      </c>
      <c r="DI38" s="20">
        <f t="shared" ref="DI38" si="446">DATE(CY$5,11,1)</f>
        <v>48519</v>
      </c>
      <c r="DJ38" s="20">
        <f t="shared" ref="DJ38" si="447">DATE(CY$5,12,1)</f>
        <v>48549</v>
      </c>
      <c r="DK38" s="21">
        <f t="shared" ref="DK38" si="448">CY$5</f>
        <v>2032</v>
      </c>
      <c r="DM38" s="20">
        <f t="shared" ref="DM38" si="449">DATE(DM$5,1,1)</f>
        <v>48580</v>
      </c>
      <c r="DN38" s="20">
        <f t="shared" ref="DN38" si="450">DATE(DM$5,2,1)</f>
        <v>48611</v>
      </c>
      <c r="DO38" s="20">
        <f t="shared" ref="DO38" si="451">DATE(DM$5,3,1)</f>
        <v>48639</v>
      </c>
      <c r="DP38" s="20">
        <f t="shared" ref="DP38" si="452">DATE(DM$5,4,1)</f>
        <v>48670</v>
      </c>
      <c r="DQ38" s="20">
        <f t="shared" ref="DQ38" si="453">DATE(DM$5,5,1)</f>
        <v>48700</v>
      </c>
      <c r="DR38" s="20">
        <f t="shared" ref="DR38" si="454">DATE(DM$5,6,1)</f>
        <v>48731</v>
      </c>
      <c r="DS38" s="20">
        <f t="shared" ref="DS38" si="455">DATE(DM$5,7,1)</f>
        <v>48761</v>
      </c>
      <c r="DT38" s="20">
        <f t="shared" ref="DT38" si="456">DATE(DM$5,8,1)</f>
        <v>48792</v>
      </c>
      <c r="DU38" s="20">
        <f t="shared" ref="DU38" si="457">DATE(DM$5,9,1)</f>
        <v>48823</v>
      </c>
      <c r="DV38" s="20">
        <f t="shared" ref="DV38" si="458">DATE(DM$5,10,1)</f>
        <v>48853</v>
      </c>
      <c r="DW38" s="20">
        <f t="shared" ref="DW38" si="459">DATE(DM$5,11,1)</f>
        <v>48884</v>
      </c>
      <c r="DX38" s="20">
        <f t="shared" ref="DX38" si="460">DATE(DM$5,12,1)</f>
        <v>48914</v>
      </c>
      <c r="DY38" s="21">
        <f t="shared" ref="DY38" si="461">DM$5</f>
        <v>2033</v>
      </c>
      <c r="EA38" s="20">
        <f t="shared" ref="EA38" si="462">DATE(EA$5,1,1)</f>
        <v>48945</v>
      </c>
      <c r="EB38" s="20">
        <f t="shared" ref="EB38" si="463">DATE(EA$5,2,1)</f>
        <v>48976</v>
      </c>
      <c r="EC38" s="20">
        <f t="shared" ref="EC38" si="464">DATE(EA$5,3,1)</f>
        <v>49004</v>
      </c>
      <c r="ED38" s="20">
        <f t="shared" ref="ED38" si="465">DATE(EA$5,4,1)</f>
        <v>49035</v>
      </c>
      <c r="EE38" s="20">
        <f t="shared" ref="EE38" si="466">DATE(EA$5,5,1)</f>
        <v>49065</v>
      </c>
      <c r="EF38" s="20">
        <f t="shared" ref="EF38" si="467">DATE(EA$5,6,1)</f>
        <v>49096</v>
      </c>
      <c r="EG38" s="20">
        <f t="shared" ref="EG38" si="468">DATE(EA$5,7,1)</f>
        <v>49126</v>
      </c>
      <c r="EH38" s="20">
        <f t="shared" ref="EH38" si="469">DATE(EA$5,8,1)</f>
        <v>49157</v>
      </c>
      <c r="EI38" s="20">
        <f t="shared" ref="EI38" si="470">DATE(EA$5,9,1)</f>
        <v>49188</v>
      </c>
      <c r="EJ38" s="20">
        <f t="shared" ref="EJ38" si="471">DATE(EA$5,10,1)</f>
        <v>49218</v>
      </c>
      <c r="EK38" s="20">
        <f t="shared" ref="EK38" si="472">DATE(EA$5,11,1)</f>
        <v>49249</v>
      </c>
      <c r="EL38" s="20">
        <f t="shared" ref="EL38" si="473">DATE(EA$5,12,1)</f>
        <v>49279</v>
      </c>
      <c r="EM38" s="21">
        <f t="shared" ref="EM38" si="474">EA$5</f>
        <v>2034</v>
      </c>
    </row>
    <row r="39" spans="3:143" x14ac:dyDescent="0.3">
      <c r="C39" s="15" t="s">
        <v>16</v>
      </c>
      <c r="E39" s="16">
        <v>1000</v>
      </c>
      <c r="F39" s="16">
        <v>1000</v>
      </c>
      <c r="G39" s="16">
        <v>1000</v>
      </c>
      <c r="H39" s="16">
        <v>0</v>
      </c>
      <c r="I39" s="16">
        <v>0</v>
      </c>
      <c r="J39" s="16">
        <v>0</v>
      </c>
      <c r="K39" s="16">
        <v>0</v>
      </c>
      <c r="L39" s="16">
        <v>0</v>
      </c>
      <c r="M39" s="16">
        <v>0</v>
      </c>
      <c r="N39" s="16">
        <v>0</v>
      </c>
      <c r="O39" s="16">
        <v>0</v>
      </c>
      <c r="P39" s="16">
        <v>0</v>
      </c>
      <c r="Q39" s="17">
        <f>SUM(E39:P39)</f>
        <v>3000</v>
      </c>
      <c r="S39" s="16"/>
      <c r="T39" s="16"/>
      <c r="U39" s="16"/>
      <c r="V39" s="16"/>
      <c r="W39" s="16"/>
      <c r="X39" s="16"/>
      <c r="Y39" s="16"/>
      <c r="Z39" s="16"/>
      <c r="AA39" s="16"/>
      <c r="AB39" s="16"/>
      <c r="AC39" s="16"/>
      <c r="AD39" s="16"/>
      <c r="AE39" s="17">
        <f>SUM(S39:AD39)</f>
        <v>0</v>
      </c>
      <c r="AG39" s="16"/>
      <c r="AH39" s="16"/>
      <c r="AI39" s="16"/>
      <c r="AJ39" s="16"/>
      <c r="AK39" s="16"/>
      <c r="AL39" s="16"/>
      <c r="AM39" s="16"/>
      <c r="AN39" s="16"/>
      <c r="AO39" s="16"/>
      <c r="AP39" s="16"/>
      <c r="AQ39" s="16"/>
      <c r="AR39" s="16"/>
      <c r="AS39" s="17">
        <f t="shared" ref="AS39" si="475">SUM(AG39:AR39)</f>
        <v>0</v>
      </c>
      <c r="AU39" s="16"/>
      <c r="AV39" s="16"/>
      <c r="AW39" s="16"/>
      <c r="AX39" s="16"/>
      <c r="AY39" s="16"/>
      <c r="AZ39" s="16"/>
      <c r="BA39" s="16"/>
      <c r="BB39" s="16"/>
      <c r="BC39" s="16"/>
      <c r="BD39" s="16"/>
      <c r="BE39" s="16"/>
      <c r="BF39" s="16"/>
      <c r="BG39" s="17">
        <f t="shared" ref="BG39" si="476">SUM(AU39:BF39)</f>
        <v>0</v>
      </c>
      <c r="BI39" s="16"/>
      <c r="BJ39" s="16"/>
      <c r="BK39" s="16"/>
      <c r="BL39" s="16"/>
      <c r="BM39" s="16"/>
      <c r="BN39" s="16"/>
      <c r="BO39" s="16"/>
      <c r="BP39" s="16"/>
      <c r="BQ39" s="16"/>
      <c r="BR39" s="16"/>
      <c r="BS39" s="16"/>
      <c r="BT39" s="16"/>
      <c r="BU39" s="17">
        <f t="shared" ref="BU39" si="477">SUM(BI39:BT39)</f>
        <v>0</v>
      </c>
      <c r="BW39" s="16"/>
      <c r="BX39" s="16"/>
      <c r="BY39" s="16"/>
      <c r="BZ39" s="16"/>
      <c r="CA39" s="16"/>
      <c r="CB39" s="16"/>
      <c r="CC39" s="16"/>
      <c r="CD39" s="16"/>
      <c r="CE39" s="16"/>
      <c r="CF39" s="16"/>
      <c r="CG39" s="16"/>
      <c r="CH39" s="16"/>
      <c r="CI39" s="17">
        <f t="shared" ref="CI39" si="478">SUM(BW39:CH39)</f>
        <v>0</v>
      </c>
      <c r="CK39" s="16"/>
      <c r="CL39" s="16"/>
      <c r="CM39" s="16"/>
      <c r="CN39" s="16"/>
      <c r="CO39" s="16"/>
      <c r="CP39" s="16"/>
      <c r="CQ39" s="16"/>
      <c r="CR39" s="16"/>
      <c r="CS39" s="16"/>
      <c r="CT39" s="16"/>
      <c r="CU39" s="16"/>
      <c r="CV39" s="16"/>
      <c r="CW39" s="17">
        <f t="shared" ref="CW39" si="479">SUM(CK39:CV39)</f>
        <v>0</v>
      </c>
      <c r="CY39" s="16"/>
      <c r="CZ39" s="16"/>
      <c r="DA39" s="16"/>
      <c r="DB39" s="16"/>
      <c r="DC39" s="16"/>
      <c r="DD39" s="16"/>
      <c r="DE39" s="16"/>
      <c r="DF39" s="16"/>
      <c r="DG39" s="16"/>
      <c r="DH39" s="16"/>
      <c r="DI39" s="16"/>
      <c r="DJ39" s="16"/>
      <c r="DK39" s="17">
        <f t="shared" ref="DK39" si="480">SUM(CY39:DJ39)</f>
        <v>0</v>
      </c>
      <c r="DM39" s="16"/>
      <c r="DN39" s="16"/>
      <c r="DO39" s="16"/>
      <c r="DP39" s="16"/>
      <c r="DQ39" s="16"/>
      <c r="DR39" s="16"/>
      <c r="DS39" s="16"/>
      <c r="DT39" s="16"/>
      <c r="DU39" s="16"/>
      <c r="DV39" s="16"/>
      <c r="DW39" s="16"/>
      <c r="DX39" s="16"/>
      <c r="DY39" s="17">
        <f t="shared" ref="DY39" si="481">SUM(DM39:DX39)</f>
        <v>0</v>
      </c>
      <c r="EA39" s="16"/>
      <c r="EB39" s="16"/>
      <c r="EC39" s="16"/>
      <c r="ED39" s="16"/>
      <c r="EE39" s="16"/>
      <c r="EF39" s="16"/>
      <c r="EG39" s="16"/>
      <c r="EH39" s="16"/>
      <c r="EI39" s="16"/>
      <c r="EJ39" s="16"/>
      <c r="EK39" s="16"/>
      <c r="EL39" s="16"/>
      <c r="EM39" s="17">
        <f t="shared" ref="EM39" si="482">SUM(EA39:EL39)</f>
        <v>0</v>
      </c>
    </row>
    <row r="40" spans="3:143" x14ac:dyDescent="0.3">
      <c r="C40" s="15" t="s">
        <v>17</v>
      </c>
      <c r="E40" s="16">
        <v>400</v>
      </c>
      <c r="F40" s="16">
        <v>400</v>
      </c>
      <c r="G40" s="16">
        <v>400</v>
      </c>
      <c r="H40" s="16">
        <v>400</v>
      </c>
      <c r="I40" s="16">
        <v>400</v>
      </c>
      <c r="J40" s="16">
        <v>400</v>
      </c>
      <c r="K40" s="16">
        <v>400</v>
      </c>
      <c r="L40" s="16">
        <v>400</v>
      </c>
      <c r="M40" s="16">
        <v>400</v>
      </c>
      <c r="N40" s="16">
        <v>400</v>
      </c>
      <c r="O40" s="16">
        <v>400</v>
      </c>
      <c r="P40" s="16">
        <v>400</v>
      </c>
      <c r="Q40" s="17">
        <f t="shared" ref="Q40:Q42" si="483">SUM(E40:P40)</f>
        <v>4800</v>
      </c>
      <c r="S40" s="16"/>
      <c r="T40" s="16"/>
      <c r="U40" s="16"/>
      <c r="V40" s="16"/>
      <c r="W40" s="16"/>
      <c r="X40" s="16"/>
      <c r="Y40" s="16"/>
      <c r="Z40" s="16"/>
      <c r="AA40" s="16"/>
      <c r="AB40" s="16"/>
      <c r="AC40" s="16"/>
      <c r="AD40" s="16"/>
      <c r="AE40" s="17">
        <f t="shared" ref="AE40:AE42" si="484">SUM(S40:AD40)</f>
        <v>0</v>
      </c>
      <c r="AG40" s="16"/>
      <c r="AH40" s="16"/>
      <c r="AI40" s="16"/>
      <c r="AJ40" s="16"/>
      <c r="AK40" s="16"/>
      <c r="AL40" s="16"/>
      <c r="AM40" s="16"/>
      <c r="AN40" s="16"/>
      <c r="AO40" s="16"/>
      <c r="AP40" s="16"/>
      <c r="AQ40" s="16"/>
      <c r="AR40" s="16"/>
      <c r="AS40" s="17">
        <f t="shared" ref="AS40:AS48" si="485">SUM(AG40:AR40)</f>
        <v>0</v>
      </c>
      <c r="AU40" s="16"/>
      <c r="AV40" s="16"/>
      <c r="AW40" s="16"/>
      <c r="AX40" s="16"/>
      <c r="AY40" s="16"/>
      <c r="AZ40" s="16"/>
      <c r="BA40" s="16"/>
      <c r="BB40" s="16"/>
      <c r="BC40" s="16"/>
      <c r="BD40" s="16"/>
      <c r="BE40" s="16"/>
      <c r="BF40" s="16"/>
      <c r="BG40" s="17">
        <f t="shared" ref="BG40:BG48" si="486">SUM(AU40:BF40)</f>
        <v>0</v>
      </c>
      <c r="BI40" s="16"/>
      <c r="BJ40" s="16"/>
      <c r="BK40" s="16"/>
      <c r="BL40" s="16"/>
      <c r="BM40" s="16"/>
      <c r="BN40" s="16"/>
      <c r="BO40" s="16"/>
      <c r="BP40" s="16"/>
      <c r="BQ40" s="16"/>
      <c r="BR40" s="16"/>
      <c r="BS40" s="16"/>
      <c r="BT40" s="16"/>
      <c r="BU40" s="17">
        <f t="shared" ref="BU40:BU48" si="487">SUM(BI40:BT40)</f>
        <v>0</v>
      </c>
      <c r="BW40" s="16"/>
      <c r="BX40" s="16"/>
      <c r="BY40" s="16"/>
      <c r="BZ40" s="16"/>
      <c r="CA40" s="16"/>
      <c r="CB40" s="16"/>
      <c r="CC40" s="16"/>
      <c r="CD40" s="16"/>
      <c r="CE40" s="16"/>
      <c r="CF40" s="16"/>
      <c r="CG40" s="16"/>
      <c r="CH40" s="16"/>
      <c r="CI40" s="17">
        <f t="shared" ref="CI40:CI48" si="488">SUM(BW40:CH40)</f>
        <v>0</v>
      </c>
      <c r="CK40" s="16"/>
      <c r="CL40" s="16"/>
      <c r="CM40" s="16"/>
      <c r="CN40" s="16"/>
      <c r="CO40" s="16"/>
      <c r="CP40" s="16"/>
      <c r="CQ40" s="16"/>
      <c r="CR40" s="16"/>
      <c r="CS40" s="16"/>
      <c r="CT40" s="16"/>
      <c r="CU40" s="16"/>
      <c r="CV40" s="16"/>
      <c r="CW40" s="17">
        <f t="shared" ref="CW40:CW48" si="489">SUM(CK40:CV40)</f>
        <v>0</v>
      </c>
      <c r="CY40" s="16"/>
      <c r="CZ40" s="16"/>
      <c r="DA40" s="16"/>
      <c r="DB40" s="16"/>
      <c r="DC40" s="16"/>
      <c r="DD40" s="16"/>
      <c r="DE40" s="16"/>
      <c r="DF40" s="16"/>
      <c r="DG40" s="16"/>
      <c r="DH40" s="16"/>
      <c r="DI40" s="16"/>
      <c r="DJ40" s="16"/>
      <c r="DK40" s="17">
        <f t="shared" ref="DK40:DK48" si="490">SUM(CY40:DJ40)</f>
        <v>0</v>
      </c>
      <c r="DM40" s="16"/>
      <c r="DN40" s="16"/>
      <c r="DO40" s="16"/>
      <c r="DP40" s="16"/>
      <c r="DQ40" s="16"/>
      <c r="DR40" s="16"/>
      <c r="DS40" s="16"/>
      <c r="DT40" s="16"/>
      <c r="DU40" s="16"/>
      <c r="DV40" s="16"/>
      <c r="DW40" s="16"/>
      <c r="DX40" s="16"/>
      <c r="DY40" s="17">
        <f t="shared" ref="DY40:DY48" si="491">SUM(DM40:DX40)</f>
        <v>0</v>
      </c>
      <c r="EA40" s="16"/>
      <c r="EB40" s="16"/>
      <c r="EC40" s="16"/>
      <c r="ED40" s="16"/>
      <c r="EE40" s="16"/>
      <c r="EF40" s="16"/>
      <c r="EG40" s="16"/>
      <c r="EH40" s="16"/>
      <c r="EI40" s="16"/>
      <c r="EJ40" s="16"/>
      <c r="EK40" s="16"/>
      <c r="EL40" s="16"/>
      <c r="EM40" s="17">
        <f t="shared" ref="EM40:EM48" si="492">SUM(EA40:EL40)</f>
        <v>0</v>
      </c>
    </row>
    <row r="41" spans="3:143" x14ac:dyDescent="0.3">
      <c r="C41" s="15" t="s">
        <v>18</v>
      </c>
      <c r="E41" s="16">
        <v>150</v>
      </c>
      <c r="F41" s="16">
        <v>150</v>
      </c>
      <c r="G41" s="16">
        <v>150</v>
      </c>
      <c r="H41" s="16">
        <v>750</v>
      </c>
      <c r="I41" s="16">
        <v>750</v>
      </c>
      <c r="J41" s="16">
        <v>750</v>
      </c>
      <c r="K41" s="16">
        <v>750</v>
      </c>
      <c r="L41" s="16">
        <v>750</v>
      </c>
      <c r="M41" s="16">
        <v>750</v>
      </c>
      <c r="N41" s="16">
        <v>750</v>
      </c>
      <c r="O41" s="16">
        <v>750</v>
      </c>
      <c r="P41" s="16">
        <v>750</v>
      </c>
      <c r="Q41" s="17">
        <f t="shared" si="483"/>
        <v>7200</v>
      </c>
      <c r="S41" s="16"/>
      <c r="T41" s="16"/>
      <c r="U41" s="16"/>
      <c r="V41" s="16"/>
      <c r="W41" s="16"/>
      <c r="X41" s="16"/>
      <c r="Y41" s="16"/>
      <c r="Z41" s="16"/>
      <c r="AA41" s="16"/>
      <c r="AB41" s="16"/>
      <c r="AC41" s="16"/>
      <c r="AD41" s="16"/>
      <c r="AE41" s="17">
        <f t="shared" si="484"/>
        <v>0</v>
      </c>
      <c r="AG41" s="16"/>
      <c r="AH41" s="16"/>
      <c r="AI41" s="16"/>
      <c r="AJ41" s="16"/>
      <c r="AK41" s="16"/>
      <c r="AL41" s="16"/>
      <c r="AM41" s="16"/>
      <c r="AN41" s="16"/>
      <c r="AO41" s="16"/>
      <c r="AP41" s="16"/>
      <c r="AQ41" s="16"/>
      <c r="AR41" s="16"/>
      <c r="AS41" s="17">
        <f t="shared" si="485"/>
        <v>0</v>
      </c>
      <c r="AU41" s="16"/>
      <c r="AV41" s="16"/>
      <c r="AW41" s="16"/>
      <c r="AX41" s="16"/>
      <c r="AY41" s="16"/>
      <c r="AZ41" s="16"/>
      <c r="BA41" s="16"/>
      <c r="BB41" s="16"/>
      <c r="BC41" s="16"/>
      <c r="BD41" s="16"/>
      <c r="BE41" s="16"/>
      <c r="BF41" s="16"/>
      <c r="BG41" s="17">
        <f t="shared" si="486"/>
        <v>0</v>
      </c>
      <c r="BI41" s="16"/>
      <c r="BJ41" s="16"/>
      <c r="BK41" s="16"/>
      <c r="BL41" s="16"/>
      <c r="BM41" s="16"/>
      <c r="BN41" s="16"/>
      <c r="BO41" s="16"/>
      <c r="BP41" s="16"/>
      <c r="BQ41" s="16"/>
      <c r="BR41" s="16"/>
      <c r="BS41" s="16"/>
      <c r="BT41" s="16"/>
      <c r="BU41" s="17">
        <f t="shared" si="487"/>
        <v>0</v>
      </c>
      <c r="BW41" s="16"/>
      <c r="BX41" s="16"/>
      <c r="BY41" s="16"/>
      <c r="BZ41" s="16"/>
      <c r="CA41" s="16"/>
      <c r="CB41" s="16"/>
      <c r="CC41" s="16"/>
      <c r="CD41" s="16"/>
      <c r="CE41" s="16"/>
      <c r="CF41" s="16"/>
      <c r="CG41" s="16"/>
      <c r="CH41" s="16"/>
      <c r="CI41" s="17">
        <f t="shared" si="488"/>
        <v>0</v>
      </c>
      <c r="CK41" s="16"/>
      <c r="CL41" s="16"/>
      <c r="CM41" s="16"/>
      <c r="CN41" s="16"/>
      <c r="CO41" s="16"/>
      <c r="CP41" s="16"/>
      <c r="CQ41" s="16"/>
      <c r="CR41" s="16"/>
      <c r="CS41" s="16"/>
      <c r="CT41" s="16"/>
      <c r="CU41" s="16"/>
      <c r="CV41" s="16"/>
      <c r="CW41" s="17">
        <f t="shared" si="489"/>
        <v>0</v>
      </c>
      <c r="CY41" s="16"/>
      <c r="CZ41" s="16"/>
      <c r="DA41" s="16"/>
      <c r="DB41" s="16"/>
      <c r="DC41" s="16"/>
      <c r="DD41" s="16"/>
      <c r="DE41" s="16"/>
      <c r="DF41" s="16"/>
      <c r="DG41" s="16"/>
      <c r="DH41" s="16"/>
      <c r="DI41" s="16"/>
      <c r="DJ41" s="16"/>
      <c r="DK41" s="17">
        <f t="shared" si="490"/>
        <v>0</v>
      </c>
      <c r="DM41" s="16"/>
      <c r="DN41" s="16"/>
      <c r="DO41" s="16"/>
      <c r="DP41" s="16"/>
      <c r="DQ41" s="16"/>
      <c r="DR41" s="16"/>
      <c r="DS41" s="16"/>
      <c r="DT41" s="16"/>
      <c r="DU41" s="16"/>
      <c r="DV41" s="16"/>
      <c r="DW41" s="16"/>
      <c r="DX41" s="16"/>
      <c r="DY41" s="17">
        <f t="shared" si="491"/>
        <v>0</v>
      </c>
      <c r="EA41" s="16"/>
      <c r="EB41" s="16"/>
      <c r="EC41" s="16"/>
      <c r="ED41" s="16"/>
      <c r="EE41" s="16"/>
      <c r="EF41" s="16"/>
      <c r="EG41" s="16"/>
      <c r="EH41" s="16"/>
      <c r="EI41" s="16"/>
      <c r="EJ41" s="16"/>
      <c r="EK41" s="16"/>
      <c r="EL41" s="16"/>
      <c r="EM41" s="17">
        <f t="shared" si="492"/>
        <v>0</v>
      </c>
    </row>
    <row r="42" spans="3:143" x14ac:dyDescent="0.3">
      <c r="C42" s="15" t="s">
        <v>27</v>
      </c>
      <c r="E42" s="16"/>
      <c r="F42" s="16"/>
      <c r="G42" s="16"/>
      <c r="H42" s="16">
        <v>600</v>
      </c>
      <c r="I42" s="16">
        <v>1400</v>
      </c>
      <c r="J42" s="16">
        <v>1300</v>
      </c>
      <c r="K42" s="16">
        <v>1500</v>
      </c>
      <c r="L42" s="16">
        <v>200</v>
      </c>
      <c r="M42" s="16">
        <v>1300</v>
      </c>
      <c r="N42" s="16">
        <v>1500</v>
      </c>
      <c r="O42" s="16">
        <v>1400</v>
      </c>
      <c r="P42" s="16">
        <v>1000</v>
      </c>
      <c r="Q42" s="17">
        <f t="shared" si="483"/>
        <v>10200</v>
      </c>
      <c r="S42" s="16"/>
      <c r="T42" s="16"/>
      <c r="U42" s="16"/>
      <c r="V42" s="16"/>
      <c r="W42" s="16"/>
      <c r="X42" s="16"/>
      <c r="Y42" s="16"/>
      <c r="Z42" s="16"/>
      <c r="AA42" s="16"/>
      <c r="AB42" s="16"/>
      <c r="AC42" s="16"/>
      <c r="AD42" s="16"/>
      <c r="AE42" s="17">
        <f t="shared" si="484"/>
        <v>0</v>
      </c>
      <c r="AG42" s="16"/>
      <c r="AH42" s="16"/>
      <c r="AI42" s="16"/>
      <c r="AJ42" s="16"/>
      <c r="AK42" s="16"/>
      <c r="AL42" s="16"/>
      <c r="AM42" s="16"/>
      <c r="AN42" s="16"/>
      <c r="AO42" s="16"/>
      <c r="AP42" s="16"/>
      <c r="AQ42" s="16"/>
      <c r="AR42" s="16"/>
      <c r="AS42" s="17">
        <f t="shared" si="485"/>
        <v>0</v>
      </c>
      <c r="AU42" s="16"/>
      <c r="AV42" s="16"/>
      <c r="AW42" s="16"/>
      <c r="AX42" s="16"/>
      <c r="AY42" s="16"/>
      <c r="AZ42" s="16"/>
      <c r="BA42" s="16"/>
      <c r="BB42" s="16"/>
      <c r="BC42" s="16"/>
      <c r="BD42" s="16"/>
      <c r="BE42" s="16"/>
      <c r="BF42" s="16"/>
      <c r="BG42" s="17">
        <f t="shared" si="486"/>
        <v>0</v>
      </c>
      <c r="BI42" s="16"/>
      <c r="BJ42" s="16"/>
      <c r="BK42" s="16"/>
      <c r="BL42" s="16"/>
      <c r="BM42" s="16"/>
      <c r="BN42" s="16"/>
      <c r="BO42" s="16"/>
      <c r="BP42" s="16"/>
      <c r="BQ42" s="16"/>
      <c r="BR42" s="16"/>
      <c r="BS42" s="16"/>
      <c r="BT42" s="16"/>
      <c r="BU42" s="17">
        <f t="shared" si="487"/>
        <v>0</v>
      </c>
      <c r="BW42" s="16"/>
      <c r="BX42" s="16"/>
      <c r="BY42" s="16"/>
      <c r="BZ42" s="16"/>
      <c r="CA42" s="16"/>
      <c r="CB42" s="16"/>
      <c r="CC42" s="16"/>
      <c r="CD42" s="16"/>
      <c r="CE42" s="16"/>
      <c r="CF42" s="16"/>
      <c r="CG42" s="16"/>
      <c r="CH42" s="16"/>
      <c r="CI42" s="17">
        <f t="shared" si="488"/>
        <v>0</v>
      </c>
      <c r="CK42" s="16"/>
      <c r="CL42" s="16"/>
      <c r="CM42" s="16"/>
      <c r="CN42" s="16"/>
      <c r="CO42" s="16"/>
      <c r="CP42" s="16"/>
      <c r="CQ42" s="16"/>
      <c r="CR42" s="16"/>
      <c r="CS42" s="16"/>
      <c r="CT42" s="16"/>
      <c r="CU42" s="16"/>
      <c r="CV42" s="16"/>
      <c r="CW42" s="17">
        <f t="shared" si="489"/>
        <v>0</v>
      </c>
      <c r="CY42" s="16"/>
      <c r="CZ42" s="16"/>
      <c r="DA42" s="16"/>
      <c r="DB42" s="16"/>
      <c r="DC42" s="16"/>
      <c r="DD42" s="16"/>
      <c r="DE42" s="16"/>
      <c r="DF42" s="16"/>
      <c r="DG42" s="16"/>
      <c r="DH42" s="16"/>
      <c r="DI42" s="16"/>
      <c r="DJ42" s="16"/>
      <c r="DK42" s="17">
        <f t="shared" si="490"/>
        <v>0</v>
      </c>
      <c r="DM42" s="16"/>
      <c r="DN42" s="16"/>
      <c r="DO42" s="16"/>
      <c r="DP42" s="16"/>
      <c r="DQ42" s="16"/>
      <c r="DR42" s="16"/>
      <c r="DS42" s="16"/>
      <c r="DT42" s="16"/>
      <c r="DU42" s="16"/>
      <c r="DV42" s="16"/>
      <c r="DW42" s="16"/>
      <c r="DX42" s="16"/>
      <c r="DY42" s="17">
        <f t="shared" si="491"/>
        <v>0</v>
      </c>
      <c r="EA42" s="16"/>
      <c r="EB42" s="16"/>
      <c r="EC42" s="16"/>
      <c r="ED42" s="16"/>
      <c r="EE42" s="16"/>
      <c r="EF42" s="16"/>
      <c r="EG42" s="16"/>
      <c r="EH42" s="16"/>
      <c r="EI42" s="16"/>
      <c r="EJ42" s="16"/>
      <c r="EK42" s="16"/>
      <c r="EL42" s="16"/>
      <c r="EM42" s="17">
        <f t="shared" si="492"/>
        <v>0</v>
      </c>
    </row>
    <row r="43" spans="3:143" x14ac:dyDescent="0.3">
      <c r="C43" s="15" t="s">
        <v>28</v>
      </c>
      <c r="E43" s="16">
        <v>200</v>
      </c>
      <c r="F43" s="16">
        <v>100</v>
      </c>
      <c r="G43" s="16">
        <v>0</v>
      </c>
      <c r="H43" s="16">
        <v>100</v>
      </c>
      <c r="I43" s="16">
        <v>100</v>
      </c>
      <c r="J43" s="16">
        <v>100</v>
      </c>
      <c r="K43" s="16">
        <v>100</v>
      </c>
      <c r="L43" s="16">
        <v>100</v>
      </c>
      <c r="M43" s="16">
        <v>100</v>
      </c>
      <c r="N43" s="16">
        <v>100</v>
      </c>
      <c r="O43" s="16">
        <v>100</v>
      </c>
      <c r="P43" s="16">
        <v>100</v>
      </c>
      <c r="Q43" s="17">
        <f>SUM(E43:P43)</f>
        <v>1200</v>
      </c>
      <c r="S43" s="16"/>
      <c r="T43" s="16"/>
      <c r="U43" s="16"/>
      <c r="V43" s="16"/>
      <c r="W43" s="16"/>
      <c r="X43" s="16"/>
      <c r="Y43" s="16"/>
      <c r="Z43" s="16"/>
      <c r="AA43" s="16"/>
      <c r="AB43" s="16"/>
      <c r="AC43" s="16"/>
      <c r="AD43" s="16"/>
      <c r="AE43" s="17">
        <f>SUM(S43:AD43)</f>
        <v>0</v>
      </c>
      <c r="AG43" s="16"/>
      <c r="AH43" s="16"/>
      <c r="AI43" s="16"/>
      <c r="AJ43" s="16"/>
      <c r="AK43" s="16"/>
      <c r="AL43" s="16"/>
      <c r="AM43" s="16"/>
      <c r="AN43" s="16"/>
      <c r="AO43" s="16"/>
      <c r="AP43" s="16"/>
      <c r="AQ43" s="16"/>
      <c r="AR43" s="16"/>
      <c r="AS43" s="17">
        <f t="shared" si="485"/>
        <v>0</v>
      </c>
      <c r="AU43" s="16"/>
      <c r="AV43" s="16"/>
      <c r="AW43" s="16"/>
      <c r="AX43" s="16"/>
      <c r="AY43" s="16"/>
      <c r="AZ43" s="16"/>
      <c r="BA43" s="16"/>
      <c r="BB43" s="16"/>
      <c r="BC43" s="16"/>
      <c r="BD43" s="16"/>
      <c r="BE43" s="16"/>
      <c r="BF43" s="16"/>
      <c r="BG43" s="17">
        <f t="shared" si="486"/>
        <v>0</v>
      </c>
      <c r="BI43" s="16"/>
      <c r="BJ43" s="16"/>
      <c r="BK43" s="16"/>
      <c r="BL43" s="16"/>
      <c r="BM43" s="16"/>
      <c r="BN43" s="16"/>
      <c r="BO43" s="16"/>
      <c r="BP43" s="16"/>
      <c r="BQ43" s="16"/>
      <c r="BR43" s="16"/>
      <c r="BS43" s="16"/>
      <c r="BT43" s="16"/>
      <c r="BU43" s="17">
        <f t="shared" si="487"/>
        <v>0</v>
      </c>
      <c r="BW43" s="16"/>
      <c r="BX43" s="16"/>
      <c r="BY43" s="16"/>
      <c r="BZ43" s="16"/>
      <c r="CA43" s="16"/>
      <c r="CB43" s="16"/>
      <c r="CC43" s="16"/>
      <c r="CD43" s="16"/>
      <c r="CE43" s="16"/>
      <c r="CF43" s="16"/>
      <c r="CG43" s="16"/>
      <c r="CH43" s="16"/>
      <c r="CI43" s="17">
        <f t="shared" si="488"/>
        <v>0</v>
      </c>
      <c r="CK43" s="16"/>
      <c r="CL43" s="16"/>
      <c r="CM43" s="16"/>
      <c r="CN43" s="16"/>
      <c r="CO43" s="16"/>
      <c r="CP43" s="16"/>
      <c r="CQ43" s="16"/>
      <c r="CR43" s="16"/>
      <c r="CS43" s="16"/>
      <c r="CT43" s="16"/>
      <c r="CU43" s="16"/>
      <c r="CV43" s="16"/>
      <c r="CW43" s="17">
        <f t="shared" si="489"/>
        <v>0</v>
      </c>
      <c r="CY43" s="16"/>
      <c r="CZ43" s="16"/>
      <c r="DA43" s="16"/>
      <c r="DB43" s="16"/>
      <c r="DC43" s="16"/>
      <c r="DD43" s="16"/>
      <c r="DE43" s="16"/>
      <c r="DF43" s="16"/>
      <c r="DG43" s="16"/>
      <c r="DH43" s="16"/>
      <c r="DI43" s="16"/>
      <c r="DJ43" s="16"/>
      <c r="DK43" s="17">
        <f t="shared" si="490"/>
        <v>0</v>
      </c>
      <c r="DM43" s="16"/>
      <c r="DN43" s="16"/>
      <c r="DO43" s="16"/>
      <c r="DP43" s="16"/>
      <c r="DQ43" s="16"/>
      <c r="DR43" s="16"/>
      <c r="DS43" s="16"/>
      <c r="DT43" s="16"/>
      <c r="DU43" s="16"/>
      <c r="DV43" s="16"/>
      <c r="DW43" s="16"/>
      <c r="DX43" s="16"/>
      <c r="DY43" s="17">
        <f t="shared" si="491"/>
        <v>0</v>
      </c>
      <c r="EA43" s="16"/>
      <c r="EB43" s="16"/>
      <c r="EC43" s="16"/>
      <c r="ED43" s="16"/>
      <c r="EE43" s="16"/>
      <c r="EF43" s="16"/>
      <c r="EG43" s="16"/>
      <c r="EH43" s="16"/>
      <c r="EI43" s="16"/>
      <c r="EJ43" s="16"/>
      <c r="EK43" s="16"/>
      <c r="EL43" s="16"/>
      <c r="EM43" s="17">
        <f t="shared" si="492"/>
        <v>0</v>
      </c>
    </row>
    <row r="44" spans="3:143" hidden="1" x14ac:dyDescent="0.3">
      <c r="C44" s="15" t="s">
        <v>19</v>
      </c>
      <c r="E44" s="16"/>
      <c r="F44" s="16"/>
      <c r="G44" s="16"/>
      <c r="H44" s="16"/>
      <c r="I44" s="16"/>
      <c r="J44" s="16"/>
      <c r="K44" s="16"/>
      <c r="L44" s="16"/>
      <c r="M44" s="16"/>
      <c r="N44" s="16"/>
      <c r="O44" s="16"/>
      <c r="P44" s="16"/>
      <c r="Q44" s="17">
        <f>SUM(E44:P44)</f>
        <v>0</v>
      </c>
      <c r="S44" s="16"/>
      <c r="T44" s="16"/>
      <c r="U44" s="16"/>
      <c r="V44" s="16"/>
      <c r="W44" s="16"/>
      <c r="X44" s="16"/>
      <c r="Y44" s="16"/>
      <c r="Z44" s="16"/>
      <c r="AA44" s="16"/>
      <c r="AB44" s="16"/>
      <c r="AC44" s="16"/>
      <c r="AD44" s="16"/>
      <c r="AE44" s="17">
        <f>SUM(S44:AD44)</f>
        <v>0</v>
      </c>
      <c r="AG44" s="16"/>
      <c r="AH44" s="16"/>
      <c r="AI44" s="16"/>
      <c r="AJ44" s="16"/>
      <c r="AK44" s="16"/>
      <c r="AL44" s="16"/>
      <c r="AM44" s="16"/>
      <c r="AN44" s="16"/>
      <c r="AO44" s="16"/>
      <c r="AP44" s="16"/>
      <c r="AQ44" s="16"/>
      <c r="AR44" s="16"/>
      <c r="AS44" s="17">
        <f t="shared" si="485"/>
        <v>0</v>
      </c>
      <c r="AU44" s="16"/>
      <c r="AV44" s="16"/>
      <c r="AW44" s="16"/>
      <c r="AX44" s="16"/>
      <c r="AY44" s="16"/>
      <c r="AZ44" s="16"/>
      <c r="BA44" s="16"/>
      <c r="BB44" s="16"/>
      <c r="BC44" s="16"/>
      <c r="BD44" s="16"/>
      <c r="BE44" s="16"/>
      <c r="BF44" s="16"/>
      <c r="BG44" s="17">
        <f t="shared" si="486"/>
        <v>0</v>
      </c>
      <c r="BI44" s="16"/>
      <c r="BJ44" s="16"/>
      <c r="BK44" s="16"/>
      <c r="BL44" s="16"/>
      <c r="BM44" s="16"/>
      <c r="BN44" s="16"/>
      <c r="BO44" s="16"/>
      <c r="BP44" s="16"/>
      <c r="BQ44" s="16"/>
      <c r="BR44" s="16"/>
      <c r="BS44" s="16"/>
      <c r="BT44" s="16"/>
      <c r="BU44" s="17">
        <f t="shared" si="487"/>
        <v>0</v>
      </c>
      <c r="BW44" s="16"/>
      <c r="BX44" s="16"/>
      <c r="BY44" s="16"/>
      <c r="BZ44" s="16"/>
      <c r="CA44" s="16"/>
      <c r="CB44" s="16"/>
      <c r="CC44" s="16"/>
      <c r="CD44" s="16"/>
      <c r="CE44" s="16"/>
      <c r="CF44" s="16"/>
      <c r="CG44" s="16"/>
      <c r="CH44" s="16"/>
      <c r="CI44" s="17">
        <f t="shared" si="488"/>
        <v>0</v>
      </c>
      <c r="CK44" s="16"/>
      <c r="CL44" s="16"/>
      <c r="CM44" s="16"/>
      <c r="CN44" s="16"/>
      <c r="CO44" s="16"/>
      <c r="CP44" s="16"/>
      <c r="CQ44" s="16"/>
      <c r="CR44" s="16"/>
      <c r="CS44" s="16"/>
      <c r="CT44" s="16"/>
      <c r="CU44" s="16"/>
      <c r="CV44" s="16"/>
      <c r="CW44" s="17">
        <f t="shared" si="489"/>
        <v>0</v>
      </c>
      <c r="CY44" s="16"/>
      <c r="CZ44" s="16"/>
      <c r="DA44" s="16"/>
      <c r="DB44" s="16"/>
      <c r="DC44" s="16"/>
      <c r="DD44" s="16"/>
      <c r="DE44" s="16"/>
      <c r="DF44" s="16"/>
      <c r="DG44" s="16"/>
      <c r="DH44" s="16"/>
      <c r="DI44" s="16"/>
      <c r="DJ44" s="16"/>
      <c r="DK44" s="17">
        <f t="shared" si="490"/>
        <v>0</v>
      </c>
      <c r="DM44" s="16"/>
      <c r="DN44" s="16"/>
      <c r="DO44" s="16"/>
      <c r="DP44" s="16"/>
      <c r="DQ44" s="16"/>
      <c r="DR44" s="16"/>
      <c r="DS44" s="16"/>
      <c r="DT44" s="16"/>
      <c r="DU44" s="16"/>
      <c r="DV44" s="16"/>
      <c r="DW44" s="16"/>
      <c r="DX44" s="16"/>
      <c r="DY44" s="17">
        <f t="shared" si="491"/>
        <v>0</v>
      </c>
      <c r="EA44" s="16"/>
      <c r="EB44" s="16"/>
      <c r="EC44" s="16"/>
      <c r="ED44" s="16"/>
      <c r="EE44" s="16"/>
      <c r="EF44" s="16"/>
      <c r="EG44" s="16"/>
      <c r="EH44" s="16"/>
      <c r="EI44" s="16"/>
      <c r="EJ44" s="16"/>
      <c r="EK44" s="16"/>
      <c r="EL44" s="16"/>
      <c r="EM44" s="17">
        <f t="shared" si="492"/>
        <v>0</v>
      </c>
    </row>
    <row r="45" spans="3:143" hidden="1" x14ac:dyDescent="0.3">
      <c r="C45" s="15" t="s">
        <v>19</v>
      </c>
      <c r="E45" s="16"/>
      <c r="F45" s="16"/>
      <c r="G45" s="16"/>
      <c r="H45" s="16"/>
      <c r="I45" s="16"/>
      <c r="J45" s="16"/>
      <c r="K45" s="16"/>
      <c r="L45" s="16"/>
      <c r="M45" s="16"/>
      <c r="N45" s="16"/>
      <c r="O45" s="16"/>
      <c r="P45" s="16"/>
      <c r="Q45" s="17">
        <f>SUM(E45:P45)</f>
        <v>0</v>
      </c>
      <c r="S45" s="16"/>
      <c r="T45" s="16"/>
      <c r="U45" s="16"/>
      <c r="V45" s="16"/>
      <c r="W45" s="16"/>
      <c r="X45" s="16"/>
      <c r="Y45" s="16"/>
      <c r="Z45" s="16"/>
      <c r="AA45" s="16"/>
      <c r="AB45" s="16"/>
      <c r="AC45" s="16"/>
      <c r="AD45" s="16"/>
      <c r="AE45" s="17">
        <f>SUM(S45:AD45)</f>
        <v>0</v>
      </c>
      <c r="AG45" s="16"/>
      <c r="AH45" s="16"/>
      <c r="AI45" s="16"/>
      <c r="AJ45" s="16"/>
      <c r="AK45" s="16"/>
      <c r="AL45" s="16"/>
      <c r="AM45" s="16"/>
      <c r="AN45" s="16"/>
      <c r="AO45" s="16"/>
      <c r="AP45" s="16"/>
      <c r="AQ45" s="16"/>
      <c r="AR45" s="16"/>
      <c r="AS45" s="17">
        <f t="shared" si="485"/>
        <v>0</v>
      </c>
      <c r="AU45" s="16"/>
      <c r="AV45" s="16"/>
      <c r="AW45" s="16"/>
      <c r="AX45" s="16"/>
      <c r="AY45" s="16"/>
      <c r="AZ45" s="16"/>
      <c r="BA45" s="16"/>
      <c r="BB45" s="16"/>
      <c r="BC45" s="16"/>
      <c r="BD45" s="16"/>
      <c r="BE45" s="16"/>
      <c r="BF45" s="16"/>
      <c r="BG45" s="17">
        <f t="shared" si="486"/>
        <v>0</v>
      </c>
      <c r="BI45" s="16"/>
      <c r="BJ45" s="16"/>
      <c r="BK45" s="16"/>
      <c r="BL45" s="16"/>
      <c r="BM45" s="16"/>
      <c r="BN45" s="16"/>
      <c r="BO45" s="16"/>
      <c r="BP45" s="16"/>
      <c r="BQ45" s="16"/>
      <c r="BR45" s="16"/>
      <c r="BS45" s="16"/>
      <c r="BT45" s="16"/>
      <c r="BU45" s="17">
        <f t="shared" si="487"/>
        <v>0</v>
      </c>
      <c r="BW45" s="16"/>
      <c r="BX45" s="16"/>
      <c r="BY45" s="16"/>
      <c r="BZ45" s="16"/>
      <c r="CA45" s="16"/>
      <c r="CB45" s="16"/>
      <c r="CC45" s="16"/>
      <c r="CD45" s="16"/>
      <c r="CE45" s="16"/>
      <c r="CF45" s="16"/>
      <c r="CG45" s="16"/>
      <c r="CH45" s="16"/>
      <c r="CI45" s="17">
        <f t="shared" si="488"/>
        <v>0</v>
      </c>
      <c r="CK45" s="16"/>
      <c r="CL45" s="16"/>
      <c r="CM45" s="16"/>
      <c r="CN45" s="16"/>
      <c r="CO45" s="16"/>
      <c r="CP45" s="16"/>
      <c r="CQ45" s="16"/>
      <c r="CR45" s="16"/>
      <c r="CS45" s="16"/>
      <c r="CT45" s="16"/>
      <c r="CU45" s="16"/>
      <c r="CV45" s="16"/>
      <c r="CW45" s="17">
        <f t="shared" si="489"/>
        <v>0</v>
      </c>
      <c r="CY45" s="16"/>
      <c r="CZ45" s="16"/>
      <c r="DA45" s="16"/>
      <c r="DB45" s="16"/>
      <c r="DC45" s="16"/>
      <c r="DD45" s="16"/>
      <c r="DE45" s="16"/>
      <c r="DF45" s="16"/>
      <c r="DG45" s="16"/>
      <c r="DH45" s="16"/>
      <c r="DI45" s="16"/>
      <c r="DJ45" s="16"/>
      <c r="DK45" s="17">
        <f t="shared" si="490"/>
        <v>0</v>
      </c>
      <c r="DM45" s="16"/>
      <c r="DN45" s="16"/>
      <c r="DO45" s="16"/>
      <c r="DP45" s="16"/>
      <c r="DQ45" s="16"/>
      <c r="DR45" s="16"/>
      <c r="DS45" s="16"/>
      <c r="DT45" s="16"/>
      <c r="DU45" s="16"/>
      <c r="DV45" s="16"/>
      <c r="DW45" s="16"/>
      <c r="DX45" s="16"/>
      <c r="DY45" s="17">
        <f t="shared" si="491"/>
        <v>0</v>
      </c>
      <c r="EA45" s="16"/>
      <c r="EB45" s="16"/>
      <c r="EC45" s="16"/>
      <c r="ED45" s="16"/>
      <c r="EE45" s="16"/>
      <c r="EF45" s="16"/>
      <c r="EG45" s="16"/>
      <c r="EH45" s="16"/>
      <c r="EI45" s="16"/>
      <c r="EJ45" s="16"/>
      <c r="EK45" s="16"/>
      <c r="EL45" s="16"/>
      <c r="EM45" s="17">
        <f t="shared" si="492"/>
        <v>0</v>
      </c>
    </row>
    <row r="46" spans="3:143" hidden="1" x14ac:dyDescent="0.3">
      <c r="C46" s="15" t="s">
        <v>19</v>
      </c>
      <c r="E46" s="16"/>
      <c r="F46" s="16"/>
      <c r="G46" s="16"/>
      <c r="H46" s="16"/>
      <c r="I46" s="16"/>
      <c r="J46" s="16"/>
      <c r="K46" s="16"/>
      <c r="L46" s="16"/>
      <c r="M46" s="16"/>
      <c r="N46" s="16"/>
      <c r="O46" s="16"/>
      <c r="P46" s="16"/>
      <c r="Q46" s="17">
        <f t="shared" ref="Q46:Q47" si="493">SUM(E46:P46)</f>
        <v>0</v>
      </c>
      <c r="S46" s="16"/>
      <c r="T46" s="16"/>
      <c r="U46" s="16"/>
      <c r="V46" s="16"/>
      <c r="W46" s="16"/>
      <c r="X46" s="16"/>
      <c r="Y46" s="16"/>
      <c r="Z46" s="16"/>
      <c r="AA46" s="16"/>
      <c r="AB46" s="16"/>
      <c r="AC46" s="16"/>
      <c r="AD46" s="16"/>
      <c r="AE46" s="17">
        <f t="shared" ref="AE46:AE47" si="494">SUM(S46:AD46)</f>
        <v>0</v>
      </c>
      <c r="AG46" s="16"/>
      <c r="AH46" s="16"/>
      <c r="AI46" s="16"/>
      <c r="AJ46" s="16"/>
      <c r="AK46" s="16"/>
      <c r="AL46" s="16"/>
      <c r="AM46" s="16"/>
      <c r="AN46" s="16"/>
      <c r="AO46" s="16"/>
      <c r="AP46" s="16"/>
      <c r="AQ46" s="16"/>
      <c r="AR46" s="16"/>
      <c r="AS46" s="17">
        <f t="shared" si="485"/>
        <v>0</v>
      </c>
      <c r="AU46" s="16"/>
      <c r="AV46" s="16"/>
      <c r="AW46" s="16"/>
      <c r="AX46" s="16"/>
      <c r="AY46" s="16"/>
      <c r="AZ46" s="16"/>
      <c r="BA46" s="16"/>
      <c r="BB46" s="16"/>
      <c r="BC46" s="16"/>
      <c r="BD46" s="16"/>
      <c r="BE46" s="16"/>
      <c r="BF46" s="16"/>
      <c r="BG46" s="17">
        <f t="shared" si="486"/>
        <v>0</v>
      </c>
      <c r="BI46" s="16"/>
      <c r="BJ46" s="16"/>
      <c r="BK46" s="16"/>
      <c r="BL46" s="16"/>
      <c r="BM46" s="16"/>
      <c r="BN46" s="16"/>
      <c r="BO46" s="16"/>
      <c r="BP46" s="16"/>
      <c r="BQ46" s="16"/>
      <c r="BR46" s="16"/>
      <c r="BS46" s="16"/>
      <c r="BT46" s="16"/>
      <c r="BU46" s="17">
        <f t="shared" si="487"/>
        <v>0</v>
      </c>
      <c r="BW46" s="16"/>
      <c r="BX46" s="16"/>
      <c r="BY46" s="16"/>
      <c r="BZ46" s="16"/>
      <c r="CA46" s="16"/>
      <c r="CB46" s="16"/>
      <c r="CC46" s="16"/>
      <c r="CD46" s="16"/>
      <c r="CE46" s="16"/>
      <c r="CF46" s="16"/>
      <c r="CG46" s="16"/>
      <c r="CH46" s="16"/>
      <c r="CI46" s="17">
        <f t="shared" si="488"/>
        <v>0</v>
      </c>
      <c r="CK46" s="16"/>
      <c r="CL46" s="16"/>
      <c r="CM46" s="16"/>
      <c r="CN46" s="16"/>
      <c r="CO46" s="16"/>
      <c r="CP46" s="16"/>
      <c r="CQ46" s="16"/>
      <c r="CR46" s="16"/>
      <c r="CS46" s="16"/>
      <c r="CT46" s="16"/>
      <c r="CU46" s="16"/>
      <c r="CV46" s="16"/>
      <c r="CW46" s="17">
        <f t="shared" si="489"/>
        <v>0</v>
      </c>
      <c r="CY46" s="16"/>
      <c r="CZ46" s="16"/>
      <c r="DA46" s="16"/>
      <c r="DB46" s="16"/>
      <c r="DC46" s="16"/>
      <c r="DD46" s="16"/>
      <c r="DE46" s="16"/>
      <c r="DF46" s="16"/>
      <c r="DG46" s="16"/>
      <c r="DH46" s="16"/>
      <c r="DI46" s="16"/>
      <c r="DJ46" s="16"/>
      <c r="DK46" s="17">
        <f t="shared" si="490"/>
        <v>0</v>
      </c>
      <c r="DM46" s="16"/>
      <c r="DN46" s="16"/>
      <c r="DO46" s="16"/>
      <c r="DP46" s="16"/>
      <c r="DQ46" s="16"/>
      <c r="DR46" s="16"/>
      <c r="DS46" s="16"/>
      <c r="DT46" s="16"/>
      <c r="DU46" s="16"/>
      <c r="DV46" s="16"/>
      <c r="DW46" s="16"/>
      <c r="DX46" s="16"/>
      <c r="DY46" s="17">
        <f t="shared" si="491"/>
        <v>0</v>
      </c>
      <c r="EA46" s="16"/>
      <c r="EB46" s="16"/>
      <c r="EC46" s="16"/>
      <c r="ED46" s="16"/>
      <c r="EE46" s="16"/>
      <c r="EF46" s="16"/>
      <c r="EG46" s="16"/>
      <c r="EH46" s="16"/>
      <c r="EI46" s="16"/>
      <c r="EJ46" s="16"/>
      <c r="EK46" s="16"/>
      <c r="EL46" s="16"/>
      <c r="EM46" s="17">
        <f t="shared" si="492"/>
        <v>0</v>
      </c>
    </row>
    <row r="47" spans="3:143" hidden="1" x14ac:dyDescent="0.3">
      <c r="C47" s="15" t="s">
        <v>19</v>
      </c>
      <c r="E47" s="16"/>
      <c r="F47" s="16"/>
      <c r="G47" s="16"/>
      <c r="H47" s="16"/>
      <c r="I47" s="16"/>
      <c r="J47" s="16"/>
      <c r="K47" s="16"/>
      <c r="L47" s="16"/>
      <c r="M47" s="16"/>
      <c r="N47" s="16"/>
      <c r="O47" s="16"/>
      <c r="P47" s="16"/>
      <c r="Q47" s="17">
        <f t="shared" si="493"/>
        <v>0</v>
      </c>
      <c r="S47" s="16"/>
      <c r="T47" s="16"/>
      <c r="U47" s="16"/>
      <c r="V47" s="16"/>
      <c r="W47" s="16"/>
      <c r="X47" s="16"/>
      <c r="Y47" s="16"/>
      <c r="Z47" s="16"/>
      <c r="AA47" s="16"/>
      <c r="AB47" s="16"/>
      <c r="AC47" s="16"/>
      <c r="AD47" s="16"/>
      <c r="AE47" s="17">
        <f t="shared" si="494"/>
        <v>0</v>
      </c>
      <c r="AG47" s="16"/>
      <c r="AH47" s="16"/>
      <c r="AI47" s="16"/>
      <c r="AJ47" s="16"/>
      <c r="AK47" s="16"/>
      <c r="AL47" s="16"/>
      <c r="AM47" s="16"/>
      <c r="AN47" s="16"/>
      <c r="AO47" s="16"/>
      <c r="AP47" s="16"/>
      <c r="AQ47" s="16"/>
      <c r="AR47" s="16"/>
      <c r="AS47" s="17">
        <f t="shared" si="485"/>
        <v>0</v>
      </c>
      <c r="AU47" s="16"/>
      <c r="AV47" s="16"/>
      <c r="AW47" s="16"/>
      <c r="AX47" s="16"/>
      <c r="AY47" s="16"/>
      <c r="AZ47" s="16"/>
      <c r="BA47" s="16"/>
      <c r="BB47" s="16"/>
      <c r="BC47" s="16"/>
      <c r="BD47" s="16"/>
      <c r="BE47" s="16"/>
      <c r="BF47" s="16"/>
      <c r="BG47" s="17">
        <f t="shared" si="486"/>
        <v>0</v>
      </c>
      <c r="BI47" s="16"/>
      <c r="BJ47" s="16"/>
      <c r="BK47" s="16"/>
      <c r="BL47" s="16"/>
      <c r="BM47" s="16"/>
      <c r="BN47" s="16"/>
      <c r="BO47" s="16"/>
      <c r="BP47" s="16"/>
      <c r="BQ47" s="16"/>
      <c r="BR47" s="16"/>
      <c r="BS47" s="16"/>
      <c r="BT47" s="16"/>
      <c r="BU47" s="17">
        <f t="shared" si="487"/>
        <v>0</v>
      </c>
      <c r="BW47" s="16"/>
      <c r="BX47" s="16"/>
      <c r="BY47" s="16"/>
      <c r="BZ47" s="16"/>
      <c r="CA47" s="16"/>
      <c r="CB47" s="16"/>
      <c r="CC47" s="16"/>
      <c r="CD47" s="16"/>
      <c r="CE47" s="16"/>
      <c r="CF47" s="16"/>
      <c r="CG47" s="16"/>
      <c r="CH47" s="16"/>
      <c r="CI47" s="17">
        <f t="shared" si="488"/>
        <v>0</v>
      </c>
      <c r="CK47" s="16"/>
      <c r="CL47" s="16"/>
      <c r="CM47" s="16"/>
      <c r="CN47" s="16"/>
      <c r="CO47" s="16"/>
      <c r="CP47" s="16"/>
      <c r="CQ47" s="16"/>
      <c r="CR47" s="16"/>
      <c r="CS47" s="16"/>
      <c r="CT47" s="16"/>
      <c r="CU47" s="16"/>
      <c r="CV47" s="16"/>
      <c r="CW47" s="17">
        <f t="shared" si="489"/>
        <v>0</v>
      </c>
      <c r="CY47" s="16"/>
      <c r="CZ47" s="16"/>
      <c r="DA47" s="16"/>
      <c r="DB47" s="16"/>
      <c r="DC47" s="16"/>
      <c r="DD47" s="16"/>
      <c r="DE47" s="16"/>
      <c r="DF47" s="16"/>
      <c r="DG47" s="16"/>
      <c r="DH47" s="16"/>
      <c r="DI47" s="16"/>
      <c r="DJ47" s="16"/>
      <c r="DK47" s="17">
        <f t="shared" si="490"/>
        <v>0</v>
      </c>
      <c r="DM47" s="16"/>
      <c r="DN47" s="16"/>
      <c r="DO47" s="16"/>
      <c r="DP47" s="16"/>
      <c r="DQ47" s="16"/>
      <c r="DR47" s="16"/>
      <c r="DS47" s="16"/>
      <c r="DT47" s="16"/>
      <c r="DU47" s="16"/>
      <c r="DV47" s="16"/>
      <c r="DW47" s="16"/>
      <c r="DX47" s="16"/>
      <c r="DY47" s="17">
        <f t="shared" si="491"/>
        <v>0</v>
      </c>
      <c r="EA47" s="16"/>
      <c r="EB47" s="16"/>
      <c r="EC47" s="16"/>
      <c r="ED47" s="16"/>
      <c r="EE47" s="16"/>
      <c r="EF47" s="16"/>
      <c r="EG47" s="16"/>
      <c r="EH47" s="16"/>
      <c r="EI47" s="16"/>
      <c r="EJ47" s="16"/>
      <c r="EK47" s="16"/>
      <c r="EL47" s="16"/>
      <c r="EM47" s="17">
        <f t="shared" si="492"/>
        <v>0</v>
      </c>
    </row>
    <row r="48" spans="3:143" hidden="1" x14ac:dyDescent="0.3">
      <c r="C48" s="15" t="s">
        <v>19</v>
      </c>
      <c r="E48" s="17"/>
      <c r="F48" s="17"/>
      <c r="G48" s="17"/>
      <c r="H48" s="17"/>
      <c r="I48" s="17"/>
      <c r="J48" s="17"/>
      <c r="K48" s="17"/>
      <c r="L48" s="17"/>
      <c r="M48" s="17"/>
      <c r="N48" s="17"/>
      <c r="O48" s="17"/>
      <c r="P48" s="17"/>
      <c r="Q48" s="17">
        <f>SUM(E48:P48)</f>
        <v>0</v>
      </c>
      <c r="S48" s="17"/>
      <c r="T48" s="17"/>
      <c r="U48" s="17"/>
      <c r="V48" s="17"/>
      <c r="W48" s="17"/>
      <c r="X48" s="17"/>
      <c r="Y48" s="17"/>
      <c r="Z48" s="17"/>
      <c r="AA48" s="17"/>
      <c r="AB48" s="17"/>
      <c r="AC48" s="17"/>
      <c r="AD48" s="17"/>
      <c r="AE48" s="17">
        <f>SUM(S48:AD48)</f>
        <v>0</v>
      </c>
      <c r="AG48" s="17"/>
      <c r="AH48" s="17"/>
      <c r="AI48" s="17"/>
      <c r="AJ48" s="17"/>
      <c r="AK48" s="17"/>
      <c r="AL48" s="17"/>
      <c r="AM48" s="17"/>
      <c r="AN48" s="17"/>
      <c r="AO48" s="17"/>
      <c r="AP48" s="17"/>
      <c r="AQ48" s="17"/>
      <c r="AR48" s="17"/>
      <c r="AS48" s="17">
        <f t="shared" si="485"/>
        <v>0</v>
      </c>
      <c r="AU48" s="17"/>
      <c r="AV48" s="17"/>
      <c r="AW48" s="17"/>
      <c r="AX48" s="17"/>
      <c r="AY48" s="17"/>
      <c r="AZ48" s="17"/>
      <c r="BA48" s="17"/>
      <c r="BB48" s="17"/>
      <c r="BC48" s="17"/>
      <c r="BD48" s="17"/>
      <c r="BE48" s="17"/>
      <c r="BF48" s="17"/>
      <c r="BG48" s="17">
        <f t="shared" si="486"/>
        <v>0</v>
      </c>
      <c r="BI48" s="17"/>
      <c r="BJ48" s="17"/>
      <c r="BK48" s="17"/>
      <c r="BL48" s="17"/>
      <c r="BM48" s="17"/>
      <c r="BN48" s="17"/>
      <c r="BO48" s="17"/>
      <c r="BP48" s="17"/>
      <c r="BQ48" s="17"/>
      <c r="BR48" s="17"/>
      <c r="BS48" s="17"/>
      <c r="BT48" s="17"/>
      <c r="BU48" s="17">
        <f t="shared" si="487"/>
        <v>0</v>
      </c>
      <c r="BW48" s="17"/>
      <c r="BX48" s="17"/>
      <c r="BY48" s="17"/>
      <c r="BZ48" s="17"/>
      <c r="CA48" s="17"/>
      <c r="CB48" s="17"/>
      <c r="CC48" s="17"/>
      <c r="CD48" s="17"/>
      <c r="CE48" s="17"/>
      <c r="CF48" s="17"/>
      <c r="CG48" s="17"/>
      <c r="CH48" s="17"/>
      <c r="CI48" s="17">
        <f t="shared" si="488"/>
        <v>0</v>
      </c>
      <c r="CK48" s="17"/>
      <c r="CL48" s="17"/>
      <c r="CM48" s="17"/>
      <c r="CN48" s="17"/>
      <c r="CO48" s="17"/>
      <c r="CP48" s="17"/>
      <c r="CQ48" s="17"/>
      <c r="CR48" s="17"/>
      <c r="CS48" s="17"/>
      <c r="CT48" s="17"/>
      <c r="CU48" s="17"/>
      <c r="CV48" s="17"/>
      <c r="CW48" s="17">
        <f t="shared" si="489"/>
        <v>0</v>
      </c>
      <c r="CY48" s="17"/>
      <c r="CZ48" s="17"/>
      <c r="DA48" s="17"/>
      <c r="DB48" s="17"/>
      <c r="DC48" s="17"/>
      <c r="DD48" s="17"/>
      <c r="DE48" s="17"/>
      <c r="DF48" s="17"/>
      <c r="DG48" s="17"/>
      <c r="DH48" s="17"/>
      <c r="DI48" s="17"/>
      <c r="DJ48" s="17"/>
      <c r="DK48" s="17">
        <f t="shared" si="490"/>
        <v>0</v>
      </c>
      <c r="DM48" s="17"/>
      <c r="DN48" s="17"/>
      <c r="DO48" s="17"/>
      <c r="DP48" s="17"/>
      <c r="DQ48" s="17"/>
      <c r="DR48" s="17"/>
      <c r="DS48" s="17"/>
      <c r="DT48" s="17"/>
      <c r="DU48" s="17"/>
      <c r="DV48" s="17"/>
      <c r="DW48" s="17"/>
      <c r="DX48" s="17"/>
      <c r="DY48" s="17">
        <f t="shared" si="491"/>
        <v>0</v>
      </c>
      <c r="EA48" s="17"/>
      <c r="EB48" s="17"/>
      <c r="EC48" s="17"/>
      <c r="ED48" s="17"/>
      <c r="EE48" s="17"/>
      <c r="EF48" s="17"/>
      <c r="EG48" s="17"/>
      <c r="EH48" s="17"/>
      <c r="EI48" s="17"/>
      <c r="EJ48" s="17"/>
      <c r="EK48" s="17"/>
      <c r="EL48" s="17"/>
      <c r="EM48" s="17">
        <f t="shared" si="492"/>
        <v>0</v>
      </c>
    </row>
    <row r="49" spans="3:143" x14ac:dyDescent="0.3">
      <c r="C49" s="12" t="s">
        <v>6</v>
      </c>
      <c r="E49" s="17" cm="1">
        <f t="array" aca="1" ref="E49" ca="1">SUM(INDIRECT(ADDRESS(savings_min_row,COLUMN())&amp;":"&amp; ADDRESS(savings_max_row,COLUMN())))</f>
        <v>1750</v>
      </c>
      <c r="F49" s="17" cm="1">
        <f t="array" aca="1" ref="F49" ca="1">SUM(INDIRECT(ADDRESS(savings_min_row,COLUMN())&amp;":"&amp; ADDRESS(savings_max_row,COLUMN())))</f>
        <v>1650</v>
      </c>
      <c r="G49" s="17" cm="1">
        <f t="array" aca="1" ref="G49" ca="1">SUM(INDIRECT(ADDRESS(savings_min_row,COLUMN())&amp;":"&amp; ADDRESS(savings_max_row,COLUMN())))</f>
        <v>1550</v>
      </c>
      <c r="H49" s="17" cm="1">
        <f t="array" aca="1" ref="H49" ca="1">SUM(INDIRECT(ADDRESS(savings_min_row,COLUMN())&amp;":"&amp; ADDRESS(savings_max_row,COLUMN())))</f>
        <v>1850</v>
      </c>
      <c r="I49" s="17" cm="1">
        <f t="array" aca="1" ref="I49" ca="1">SUM(INDIRECT(ADDRESS(savings_min_row,COLUMN())&amp;":"&amp; ADDRESS(savings_max_row,COLUMN())))</f>
        <v>2650</v>
      </c>
      <c r="J49" s="17" cm="1">
        <f t="array" aca="1" ref="J49" ca="1">SUM(INDIRECT(ADDRESS(savings_min_row,COLUMN())&amp;":"&amp; ADDRESS(savings_max_row,COLUMN())))</f>
        <v>2550</v>
      </c>
      <c r="K49" s="17" cm="1">
        <f t="array" aca="1" ref="K49" ca="1">SUM(INDIRECT(ADDRESS(savings_min_row,COLUMN())&amp;":"&amp; ADDRESS(savings_max_row,COLUMN())))</f>
        <v>2750</v>
      </c>
      <c r="L49" s="17" cm="1">
        <f t="array" aca="1" ref="L49" ca="1">SUM(INDIRECT(ADDRESS(savings_min_row,COLUMN())&amp;":"&amp; ADDRESS(savings_max_row,COLUMN())))</f>
        <v>1450</v>
      </c>
      <c r="M49" s="17" cm="1">
        <f t="array" aca="1" ref="M49" ca="1">SUM(INDIRECT(ADDRESS(savings_min_row,COLUMN())&amp;":"&amp; ADDRESS(savings_max_row,COLUMN())))</f>
        <v>2550</v>
      </c>
      <c r="N49" s="17" cm="1">
        <f t="array" aca="1" ref="N49" ca="1">SUM(INDIRECT(ADDRESS(savings_min_row,COLUMN())&amp;":"&amp; ADDRESS(savings_max_row,COLUMN())))</f>
        <v>2750</v>
      </c>
      <c r="O49" s="17" cm="1">
        <f t="array" aca="1" ref="O49" ca="1">SUM(INDIRECT(ADDRESS(savings_min_row,COLUMN())&amp;":"&amp; ADDRESS(savings_max_row,COLUMN())))</f>
        <v>2650</v>
      </c>
      <c r="P49" s="17" cm="1">
        <f t="array" aca="1" ref="P49" ca="1">SUM(INDIRECT(ADDRESS(savings_min_row,COLUMN())&amp;":"&amp; ADDRESS(savings_max_row,COLUMN())))</f>
        <v>2250</v>
      </c>
      <c r="Q49" s="17" cm="1">
        <f t="array" aca="1" ref="Q49" ca="1">SUM(INDIRECT(ADDRESS(savings_min_row,COLUMN())&amp;":"&amp; ADDRESS(savings_max_row,COLUMN())))</f>
        <v>26400</v>
      </c>
      <c r="S49" s="17" cm="1">
        <f t="array" aca="1" ref="S49" ca="1">SUM(INDIRECT(ADDRESS(savings_min_row,COLUMN())&amp;":"&amp; ADDRESS(savings_max_row,COLUMN())))</f>
        <v>0</v>
      </c>
      <c r="T49" s="17" cm="1">
        <f t="array" aca="1" ref="T49" ca="1">SUM(INDIRECT(ADDRESS(savings_min_row,COLUMN())&amp;":"&amp; ADDRESS(savings_max_row,COLUMN())))</f>
        <v>0</v>
      </c>
      <c r="U49" s="17" cm="1">
        <f t="array" aca="1" ref="U49" ca="1">SUM(INDIRECT(ADDRESS(savings_min_row,COLUMN())&amp;":"&amp; ADDRESS(savings_max_row,COLUMN())))</f>
        <v>0</v>
      </c>
      <c r="V49" s="17" cm="1">
        <f t="array" aca="1" ref="V49" ca="1">SUM(INDIRECT(ADDRESS(savings_min_row,COLUMN())&amp;":"&amp; ADDRESS(savings_max_row,COLUMN())))</f>
        <v>0</v>
      </c>
      <c r="W49" s="17" cm="1">
        <f t="array" aca="1" ref="W49" ca="1">SUM(INDIRECT(ADDRESS(savings_min_row,COLUMN())&amp;":"&amp; ADDRESS(savings_max_row,COLUMN())))</f>
        <v>0</v>
      </c>
      <c r="X49" s="17" cm="1">
        <f t="array" aca="1" ref="X49" ca="1">SUM(INDIRECT(ADDRESS(savings_min_row,COLUMN())&amp;":"&amp; ADDRESS(savings_max_row,COLUMN())))</f>
        <v>0</v>
      </c>
      <c r="Y49" s="17" cm="1">
        <f t="array" aca="1" ref="Y49" ca="1">SUM(INDIRECT(ADDRESS(savings_min_row,COLUMN())&amp;":"&amp; ADDRESS(savings_max_row,COLUMN())))</f>
        <v>0</v>
      </c>
      <c r="Z49" s="17" cm="1">
        <f t="array" aca="1" ref="Z49" ca="1">SUM(INDIRECT(ADDRESS(savings_min_row,COLUMN())&amp;":"&amp; ADDRESS(savings_max_row,COLUMN())))</f>
        <v>0</v>
      </c>
      <c r="AA49" s="17" cm="1">
        <f t="array" aca="1" ref="AA49" ca="1">SUM(INDIRECT(ADDRESS(savings_min_row,COLUMN())&amp;":"&amp; ADDRESS(savings_max_row,COLUMN())))</f>
        <v>0</v>
      </c>
      <c r="AB49" s="17" cm="1">
        <f t="array" aca="1" ref="AB49" ca="1">SUM(INDIRECT(ADDRESS(savings_min_row,COLUMN())&amp;":"&amp; ADDRESS(savings_max_row,COLUMN())))</f>
        <v>0</v>
      </c>
      <c r="AC49" s="17" cm="1">
        <f t="array" aca="1" ref="AC49" ca="1">SUM(INDIRECT(ADDRESS(savings_min_row,COLUMN())&amp;":"&amp; ADDRESS(savings_max_row,COLUMN())))</f>
        <v>0</v>
      </c>
      <c r="AD49" s="17" cm="1">
        <f t="array" aca="1" ref="AD49" ca="1">SUM(INDIRECT(ADDRESS(savings_min_row,COLUMN())&amp;":"&amp; ADDRESS(savings_max_row,COLUMN())))</f>
        <v>0</v>
      </c>
      <c r="AE49" s="17" cm="1">
        <f t="array" aca="1" ref="AE49" ca="1">SUM(INDIRECT(ADDRESS(savings_min_row,COLUMN())&amp;":"&amp; ADDRESS(savings_max_row,COLUMN())))</f>
        <v>0</v>
      </c>
      <c r="AG49" s="17" cm="1">
        <f t="array" aca="1" ref="AG49" ca="1">SUM(INDIRECT(ADDRESS(savings_min_row,COLUMN())&amp;":"&amp; ADDRESS(savings_max_row,COLUMN())))</f>
        <v>0</v>
      </c>
      <c r="AH49" s="17" cm="1">
        <f t="array" aca="1" ref="AH49" ca="1">SUM(INDIRECT(ADDRESS(savings_min_row,COLUMN())&amp;":"&amp; ADDRESS(savings_max_row,COLUMN())))</f>
        <v>0</v>
      </c>
      <c r="AI49" s="17" cm="1">
        <f t="array" aca="1" ref="AI49" ca="1">SUM(INDIRECT(ADDRESS(savings_min_row,COLUMN())&amp;":"&amp; ADDRESS(savings_max_row,COLUMN())))</f>
        <v>0</v>
      </c>
      <c r="AJ49" s="17" cm="1">
        <f t="array" aca="1" ref="AJ49" ca="1">SUM(INDIRECT(ADDRESS(savings_min_row,COLUMN())&amp;":"&amp; ADDRESS(savings_max_row,COLUMN())))</f>
        <v>0</v>
      </c>
      <c r="AK49" s="17" cm="1">
        <f t="array" aca="1" ref="AK49" ca="1">SUM(INDIRECT(ADDRESS(savings_min_row,COLUMN())&amp;":"&amp; ADDRESS(savings_max_row,COLUMN())))</f>
        <v>0</v>
      </c>
      <c r="AL49" s="17" cm="1">
        <f t="array" aca="1" ref="AL49" ca="1">SUM(INDIRECT(ADDRESS(savings_min_row,COLUMN())&amp;":"&amp; ADDRESS(savings_max_row,COLUMN())))</f>
        <v>0</v>
      </c>
      <c r="AM49" s="17" cm="1">
        <f t="array" aca="1" ref="AM49" ca="1">SUM(INDIRECT(ADDRESS(savings_min_row,COLUMN())&amp;":"&amp; ADDRESS(savings_max_row,COLUMN())))</f>
        <v>0</v>
      </c>
      <c r="AN49" s="17" cm="1">
        <f t="array" aca="1" ref="AN49" ca="1">SUM(INDIRECT(ADDRESS(savings_min_row,COLUMN())&amp;":"&amp; ADDRESS(savings_max_row,COLUMN())))</f>
        <v>0</v>
      </c>
      <c r="AO49" s="17" cm="1">
        <f t="array" aca="1" ref="AO49" ca="1">SUM(INDIRECT(ADDRESS(savings_min_row,COLUMN())&amp;":"&amp; ADDRESS(savings_max_row,COLUMN())))</f>
        <v>0</v>
      </c>
      <c r="AP49" s="17" cm="1">
        <f t="array" aca="1" ref="AP49" ca="1">SUM(INDIRECT(ADDRESS(savings_min_row,COLUMN())&amp;":"&amp; ADDRESS(savings_max_row,COLUMN())))</f>
        <v>0</v>
      </c>
      <c r="AQ49" s="17" cm="1">
        <f t="array" aca="1" ref="AQ49" ca="1">SUM(INDIRECT(ADDRESS(savings_min_row,COLUMN())&amp;":"&amp; ADDRESS(savings_max_row,COLUMN())))</f>
        <v>0</v>
      </c>
      <c r="AR49" s="17" cm="1">
        <f t="array" aca="1" ref="AR49" ca="1">SUM(INDIRECT(ADDRESS(savings_min_row,COLUMN())&amp;":"&amp; ADDRESS(savings_max_row,COLUMN())))</f>
        <v>0</v>
      </c>
      <c r="AS49" s="17" cm="1">
        <f t="array" aca="1" ref="AS49" ca="1">SUM(INDIRECT(ADDRESS(savings_min_row,COLUMN())&amp;":"&amp; ADDRESS(savings_max_row,COLUMN())))</f>
        <v>0</v>
      </c>
      <c r="AU49" s="17" cm="1">
        <f t="array" aca="1" ref="AU49" ca="1">SUM(INDIRECT(ADDRESS(savings_min_row,COLUMN())&amp;":"&amp; ADDRESS(savings_max_row,COLUMN())))</f>
        <v>0</v>
      </c>
      <c r="AV49" s="17" cm="1">
        <f t="array" aca="1" ref="AV49" ca="1">SUM(INDIRECT(ADDRESS(savings_min_row,COLUMN())&amp;":"&amp; ADDRESS(savings_max_row,COLUMN())))</f>
        <v>0</v>
      </c>
      <c r="AW49" s="17" cm="1">
        <f t="array" aca="1" ref="AW49" ca="1">SUM(INDIRECT(ADDRESS(savings_min_row,COLUMN())&amp;":"&amp; ADDRESS(savings_max_row,COLUMN())))</f>
        <v>0</v>
      </c>
      <c r="AX49" s="17" cm="1">
        <f t="array" aca="1" ref="AX49" ca="1">SUM(INDIRECT(ADDRESS(savings_min_row,COLUMN())&amp;":"&amp; ADDRESS(savings_max_row,COLUMN())))</f>
        <v>0</v>
      </c>
      <c r="AY49" s="17" cm="1">
        <f t="array" aca="1" ref="AY49" ca="1">SUM(INDIRECT(ADDRESS(savings_min_row,COLUMN())&amp;":"&amp; ADDRESS(savings_max_row,COLUMN())))</f>
        <v>0</v>
      </c>
      <c r="AZ49" s="17" cm="1">
        <f t="array" aca="1" ref="AZ49" ca="1">SUM(INDIRECT(ADDRESS(savings_min_row,COLUMN())&amp;":"&amp; ADDRESS(savings_max_row,COLUMN())))</f>
        <v>0</v>
      </c>
      <c r="BA49" s="17" cm="1">
        <f t="array" aca="1" ref="BA49" ca="1">SUM(INDIRECT(ADDRESS(savings_min_row,COLUMN())&amp;":"&amp; ADDRESS(savings_max_row,COLUMN())))</f>
        <v>0</v>
      </c>
      <c r="BB49" s="17" cm="1">
        <f t="array" aca="1" ref="BB49" ca="1">SUM(INDIRECT(ADDRESS(savings_min_row,COLUMN())&amp;":"&amp; ADDRESS(savings_max_row,COLUMN())))</f>
        <v>0</v>
      </c>
      <c r="BC49" s="17" cm="1">
        <f t="array" aca="1" ref="BC49" ca="1">SUM(INDIRECT(ADDRESS(savings_min_row,COLUMN())&amp;":"&amp; ADDRESS(savings_max_row,COLUMN())))</f>
        <v>0</v>
      </c>
      <c r="BD49" s="17" cm="1">
        <f t="array" aca="1" ref="BD49" ca="1">SUM(INDIRECT(ADDRESS(savings_min_row,COLUMN())&amp;":"&amp; ADDRESS(savings_max_row,COLUMN())))</f>
        <v>0</v>
      </c>
      <c r="BE49" s="17" cm="1">
        <f t="array" aca="1" ref="BE49" ca="1">SUM(INDIRECT(ADDRESS(savings_min_row,COLUMN())&amp;":"&amp; ADDRESS(savings_max_row,COLUMN())))</f>
        <v>0</v>
      </c>
      <c r="BF49" s="17" cm="1">
        <f t="array" aca="1" ref="BF49" ca="1">SUM(INDIRECT(ADDRESS(savings_min_row,COLUMN())&amp;":"&amp; ADDRESS(savings_max_row,COLUMN())))</f>
        <v>0</v>
      </c>
      <c r="BG49" s="17" cm="1">
        <f t="array" aca="1" ref="BG49" ca="1">SUM(INDIRECT(ADDRESS(savings_min_row,COLUMN())&amp;":"&amp; ADDRESS(savings_max_row,COLUMN())))</f>
        <v>0</v>
      </c>
      <c r="BI49" s="17" cm="1">
        <f t="array" aca="1" ref="BI49" ca="1">SUM(INDIRECT(ADDRESS(savings_min_row,COLUMN())&amp;":"&amp; ADDRESS(savings_max_row,COLUMN())))</f>
        <v>0</v>
      </c>
      <c r="BJ49" s="17" cm="1">
        <f t="array" aca="1" ref="BJ49" ca="1">SUM(INDIRECT(ADDRESS(savings_min_row,COLUMN())&amp;":"&amp; ADDRESS(savings_max_row,COLUMN())))</f>
        <v>0</v>
      </c>
      <c r="BK49" s="17" cm="1">
        <f t="array" aca="1" ref="BK49" ca="1">SUM(INDIRECT(ADDRESS(savings_min_row,COLUMN())&amp;":"&amp; ADDRESS(savings_max_row,COLUMN())))</f>
        <v>0</v>
      </c>
      <c r="BL49" s="17" cm="1">
        <f t="array" aca="1" ref="BL49" ca="1">SUM(INDIRECT(ADDRESS(savings_min_row,COLUMN())&amp;":"&amp; ADDRESS(savings_max_row,COLUMN())))</f>
        <v>0</v>
      </c>
      <c r="BM49" s="17" cm="1">
        <f t="array" aca="1" ref="BM49" ca="1">SUM(INDIRECT(ADDRESS(savings_min_row,COLUMN())&amp;":"&amp; ADDRESS(savings_max_row,COLUMN())))</f>
        <v>0</v>
      </c>
      <c r="BN49" s="17" cm="1">
        <f t="array" aca="1" ref="BN49" ca="1">SUM(INDIRECT(ADDRESS(savings_min_row,COLUMN())&amp;":"&amp; ADDRESS(savings_max_row,COLUMN())))</f>
        <v>0</v>
      </c>
      <c r="BO49" s="17" cm="1">
        <f t="array" aca="1" ref="BO49" ca="1">SUM(INDIRECT(ADDRESS(savings_min_row,COLUMN())&amp;":"&amp; ADDRESS(savings_max_row,COLUMN())))</f>
        <v>0</v>
      </c>
      <c r="BP49" s="17" cm="1">
        <f t="array" aca="1" ref="BP49" ca="1">SUM(INDIRECT(ADDRESS(savings_min_row,COLUMN())&amp;":"&amp; ADDRESS(savings_max_row,COLUMN())))</f>
        <v>0</v>
      </c>
      <c r="BQ49" s="17" cm="1">
        <f t="array" aca="1" ref="BQ49" ca="1">SUM(INDIRECT(ADDRESS(savings_min_row,COLUMN())&amp;":"&amp; ADDRESS(savings_max_row,COLUMN())))</f>
        <v>0</v>
      </c>
      <c r="BR49" s="17" cm="1">
        <f t="array" aca="1" ref="BR49" ca="1">SUM(INDIRECT(ADDRESS(savings_min_row,COLUMN())&amp;":"&amp; ADDRESS(savings_max_row,COLUMN())))</f>
        <v>0</v>
      </c>
      <c r="BS49" s="17" cm="1">
        <f t="array" aca="1" ref="BS49" ca="1">SUM(INDIRECT(ADDRESS(savings_min_row,COLUMN())&amp;":"&amp; ADDRESS(savings_max_row,COLUMN())))</f>
        <v>0</v>
      </c>
      <c r="BT49" s="17" cm="1">
        <f t="array" aca="1" ref="BT49" ca="1">SUM(INDIRECT(ADDRESS(savings_min_row,COLUMN())&amp;":"&amp; ADDRESS(savings_max_row,COLUMN())))</f>
        <v>0</v>
      </c>
      <c r="BU49" s="17" cm="1">
        <f t="array" aca="1" ref="BU49" ca="1">SUM(INDIRECT(ADDRESS(savings_min_row,COLUMN())&amp;":"&amp; ADDRESS(savings_max_row,COLUMN())))</f>
        <v>0</v>
      </c>
      <c r="BW49" s="17" cm="1">
        <f t="array" aca="1" ref="BW49" ca="1">SUM(INDIRECT(ADDRESS(savings_min_row,COLUMN())&amp;":"&amp; ADDRESS(savings_max_row,COLUMN())))</f>
        <v>0</v>
      </c>
      <c r="BX49" s="17" cm="1">
        <f t="array" aca="1" ref="BX49" ca="1">SUM(INDIRECT(ADDRESS(savings_min_row,COLUMN())&amp;":"&amp; ADDRESS(savings_max_row,COLUMN())))</f>
        <v>0</v>
      </c>
      <c r="BY49" s="17" cm="1">
        <f t="array" aca="1" ref="BY49" ca="1">SUM(INDIRECT(ADDRESS(savings_min_row,COLUMN())&amp;":"&amp; ADDRESS(savings_max_row,COLUMN())))</f>
        <v>0</v>
      </c>
      <c r="BZ49" s="17" cm="1">
        <f t="array" aca="1" ref="BZ49" ca="1">SUM(INDIRECT(ADDRESS(savings_min_row,COLUMN())&amp;":"&amp; ADDRESS(savings_max_row,COLUMN())))</f>
        <v>0</v>
      </c>
      <c r="CA49" s="17" cm="1">
        <f t="array" aca="1" ref="CA49" ca="1">SUM(INDIRECT(ADDRESS(savings_min_row,COLUMN())&amp;":"&amp; ADDRESS(savings_max_row,COLUMN())))</f>
        <v>0</v>
      </c>
      <c r="CB49" s="17" cm="1">
        <f t="array" aca="1" ref="CB49" ca="1">SUM(INDIRECT(ADDRESS(savings_min_row,COLUMN())&amp;":"&amp; ADDRESS(savings_max_row,COLUMN())))</f>
        <v>0</v>
      </c>
      <c r="CC49" s="17" cm="1">
        <f t="array" aca="1" ref="CC49" ca="1">SUM(INDIRECT(ADDRESS(savings_min_row,COLUMN())&amp;":"&amp; ADDRESS(savings_max_row,COLUMN())))</f>
        <v>0</v>
      </c>
      <c r="CD49" s="17" cm="1">
        <f t="array" aca="1" ref="CD49" ca="1">SUM(INDIRECT(ADDRESS(savings_min_row,COLUMN())&amp;":"&amp; ADDRESS(savings_max_row,COLUMN())))</f>
        <v>0</v>
      </c>
      <c r="CE49" s="17" cm="1">
        <f t="array" aca="1" ref="CE49" ca="1">SUM(INDIRECT(ADDRESS(savings_min_row,COLUMN())&amp;":"&amp; ADDRESS(savings_max_row,COLUMN())))</f>
        <v>0</v>
      </c>
      <c r="CF49" s="17" cm="1">
        <f t="array" aca="1" ref="CF49" ca="1">SUM(INDIRECT(ADDRESS(savings_min_row,COLUMN())&amp;":"&amp; ADDRESS(savings_max_row,COLUMN())))</f>
        <v>0</v>
      </c>
      <c r="CG49" s="17" cm="1">
        <f t="array" aca="1" ref="CG49" ca="1">SUM(INDIRECT(ADDRESS(savings_min_row,COLUMN())&amp;":"&amp; ADDRESS(savings_max_row,COLUMN())))</f>
        <v>0</v>
      </c>
      <c r="CH49" s="17" cm="1">
        <f t="array" aca="1" ref="CH49" ca="1">SUM(INDIRECT(ADDRESS(savings_min_row,COLUMN())&amp;":"&amp; ADDRESS(savings_max_row,COLUMN())))</f>
        <v>0</v>
      </c>
      <c r="CI49" s="17" cm="1">
        <f t="array" aca="1" ref="CI49" ca="1">SUM(INDIRECT(ADDRESS(savings_min_row,COLUMN())&amp;":"&amp; ADDRESS(savings_max_row,COLUMN())))</f>
        <v>0</v>
      </c>
      <c r="CK49" s="17" cm="1">
        <f t="array" aca="1" ref="CK49" ca="1">SUM(INDIRECT(ADDRESS(savings_min_row,COLUMN())&amp;":"&amp; ADDRESS(savings_max_row,COLUMN())))</f>
        <v>0</v>
      </c>
      <c r="CL49" s="17" cm="1">
        <f t="array" aca="1" ref="CL49" ca="1">SUM(INDIRECT(ADDRESS(savings_min_row,COLUMN())&amp;":"&amp; ADDRESS(savings_max_row,COLUMN())))</f>
        <v>0</v>
      </c>
      <c r="CM49" s="17" cm="1">
        <f t="array" aca="1" ref="CM49" ca="1">SUM(INDIRECT(ADDRESS(savings_min_row,COLUMN())&amp;":"&amp; ADDRESS(savings_max_row,COLUMN())))</f>
        <v>0</v>
      </c>
      <c r="CN49" s="17" cm="1">
        <f t="array" aca="1" ref="CN49" ca="1">SUM(INDIRECT(ADDRESS(savings_min_row,COLUMN())&amp;":"&amp; ADDRESS(savings_max_row,COLUMN())))</f>
        <v>0</v>
      </c>
      <c r="CO49" s="17" cm="1">
        <f t="array" aca="1" ref="CO49" ca="1">SUM(INDIRECT(ADDRESS(savings_min_row,COLUMN())&amp;":"&amp; ADDRESS(savings_max_row,COLUMN())))</f>
        <v>0</v>
      </c>
      <c r="CP49" s="17" cm="1">
        <f t="array" aca="1" ref="CP49" ca="1">SUM(INDIRECT(ADDRESS(savings_min_row,COLUMN())&amp;":"&amp; ADDRESS(savings_max_row,COLUMN())))</f>
        <v>0</v>
      </c>
      <c r="CQ49" s="17" cm="1">
        <f t="array" aca="1" ref="CQ49" ca="1">SUM(INDIRECT(ADDRESS(savings_min_row,COLUMN())&amp;":"&amp; ADDRESS(savings_max_row,COLUMN())))</f>
        <v>0</v>
      </c>
      <c r="CR49" s="17" cm="1">
        <f t="array" aca="1" ref="CR49" ca="1">SUM(INDIRECT(ADDRESS(savings_min_row,COLUMN())&amp;":"&amp; ADDRESS(savings_max_row,COLUMN())))</f>
        <v>0</v>
      </c>
      <c r="CS49" s="17" cm="1">
        <f t="array" aca="1" ref="CS49" ca="1">SUM(INDIRECT(ADDRESS(savings_min_row,COLUMN())&amp;":"&amp; ADDRESS(savings_max_row,COLUMN())))</f>
        <v>0</v>
      </c>
      <c r="CT49" s="17" cm="1">
        <f t="array" aca="1" ref="CT49" ca="1">SUM(INDIRECT(ADDRESS(savings_min_row,COLUMN())&amp;":"&amp; ADDRESS(savings_max_row,COLUMN())))</f>
        <v>0</v>
      </c>
      <c r="CU49" s="17" cm="1">
        <f t="array" aca="1" ref="CU49" ca="1">SUM(INDIRECT(ADDRESS(savings_min_row,COLUMN())&amp;":"&amp; ADDRESS(savings_max_row,COLUMN())))</f>
        <v>0</v>
      </c>
      <c r="CV49" s="17" cm="1">
        <f t="array" aca="1" ref="CV49" ca="1">SUM(INDIRECT(ADDRESS(savings_min_row,COLUMN())&amp;":"&amp; ADDRESS(savings_max_row,COLUMN())))</f>
        <v>0</v>
      </c>
      <c r="CW49" s="17" cm="1">
        <f t="array" aca="1" ref="CW49" ca="1">SUM(INDIRECT(ADDRESS(savings_min_row,COLUMN())&amp;":"&amp; ADDRESS(savings_max_row,COLUMN())))</f>
        <v>0</v>
      </c>
      <c r="CY49" s="17" cm="1">
        <f t="array" aca="1" ref="CY49" ca="1">SUM(INDIRECT(ADDRESS(savings_min_row,COLUMN())&amp;":"&amp; ADDRESS(savings_max_row,COLUMN())))</f>
        <v>0</v>
      </c>
      <c r="CZ49" s="17" cm="1">
        <f t="array" aca="1" ref="CZ49" ca="1">SUM(INDIRECT(ADDRESS(savings_min_row,COLUMN())&amp;":"&amp; ADDRESS(savings_max_row,COLUMN())))</f>
        <v>0</v>
      </c>
      <c r="DA49" s="17" cm="1">
        <f t="array" aca="1" ref="DA49" ca="1">SUM(INDIRECT(ADDRESS(savings_min_row,COLUMN())&amp;":"&amp; ADDRESS(savings_max_row,COLUMN())))</f>
        <v>0</v>
      </c>
      <c r="DB49" s="17" cm="1">
        <f t="array" aca="1" ref="DB49" ca="1">SUM(INDIRECT(ADDRESS(savings_min_row,COLUMN())&amp;":"&amp; ADDRESS(savings_max_row,COLUMN())))</f>
        <v>0</v>
      </c>
      <c r="DC49" s="17" cm="1">
        <f t="array" aca="1" ref="DC49" ca="1">SUM(INDIRECT(ADDRESS(savings_min_row,COLUMN())&amp;":"&amp; ADDRESS(savings_max_row,COLUMN())))</f>
        <v>0</v>
      </c>
      <c r="DD49" s="17" cm="1">
        <f t="array" aca="1" ref="DD49" ca="1">SUM(INDIRECT(ADDRESS(savings_min_row,COLUMN())&amp;":"&amp; ADDRESS(savings_max_row,COLUMN())))</f>
        <v>0</v>
      </c>
      <c r="DE49" s="17" cm="1">
        <f t="array" aca="1" ref="DE49" ca="1">SUM(INDIRECT(ADDRESS(savings_min_row,COLUMN())&amp;":"&amp; ADDRESS(savings_max_row,COLUMN())))</f>
        <v>0</v>
      </c>
      <c r="DF49" s="17" cm="1">
        <f t="array" aca="1" ref="DF49" ca="1">SUM(INDIRECT(ADDRESS(savings_min_row,COLUMN())&amp;":"&amp; ADDRESS(savings_max_row,COLUMN())))</f>
        <v>0</v>
      </c>
      <c r="DG49" s="17" cm="1">
        <f t="array" aca="1" ref="DG49" ca="1">SUM(INDIRECT(ADDRESS(savings_min_row,COLUMN())&amp;":"&amp; ADDRESS(savings_max_row,COLUMN())))</f>
        <v>0</v>
      </c>
      <c r="DH49" s="17" cm="1">
        <f t="array" aca="1" ref="DH49" ca="1">SUM(INDIRECT(ADDRESS(savings_min_row,COLUMN())&amp;":"&amp; ADDRESS(savings_max_row,COLUMN())))</f>
        <v>0</v>
      </c>
      <c r="DI49" s="17" cm="1">
        <f t="array" aca="1" ref="DI49" ca="1">SUM(INDIRECT(ADDRESS(savings_min_row,COLUMN())&amp;":"&amp; ADDRESS(savings_max_row,COLUMN())))</f>
        <v>0</v>
      </c>
      <c r="DJ49" s="17" cm="1">
        <f t="array" aca="1" ref="DJ49" ca="1">SUM(INDIRECT(ADDRESS(savings_min_row,COLUMN())&amp;":"&amp; ADDRESS(savings_max_row,COLUMN())))</f>
        <v>0</v>
      </c>
      <c r="DK49" s="17" cm="1">
        <f t="array" aca="1" ref="DK49" ca="1">SUM(INDIRECT(ADDRESS(savings_min_row,COLUMN())&amp;":"&amp; ADDRESS(savings_max_row,COLUMN())))</f>
        <v>0</v>
      </c>
      <c r="DM49" s="17" cm="1">
        <f t="array" aca="1" ref="DM49" ca="1">SUM(INDIRECT(ADDRESS(savings_min_row,COLUMN())&amp;":"&amp; ADDRESS(savings_max_row,COLUMN())))</f>
        <v>0</v>
      </c>
      <c r="DN49" s="17" cm="1">
        <f t="array" aca="1" ref="DN49" ca="1">SUM(INDIRECT(ADDRESS(savings_min_row,COLUMN())&amp;":"&amp; ADDRESS(savings_max_row,COLUMN())))</f>
        <v>0</v>
      </c>
      <c r="DO49" s="17" cm="1">
        <f t="array" aca="1" ref="DO49" ca="1">SUM(INDIRECT(ADDRESS(savings_min_row,COLUMN())&amp;":"&amp; ADDRESS(savings_max_row,COLUMN())))</f>
        <v>0</v>
      </c>
      <c r="DP49" s="17" cm="1">
        <f t="array" aca="1" ref="DP49" ca="1">SUM(INDIRECT(ADDRESS(savings_min_row,COLUMN())&amp;":"&amp; ADDRESS(savings_max_row,COLUMN())))</f>
        <v>0</v>
      </c>
      <c r="DQ49" s="17" cm="1">
        <f t="array" aca="1" ref="DQ49" ca="1">SUM(INDIRECT(ADDRESS(savings_min_row,COLUMN())&amp;":"&amp; ADDRESS(savings_max_row,COLUMN())))</f>
        <v>0</v>
      </c>
      <c r="DR49" s="17" cm="1">
        <f t="array" aca="1" ref="DR49" ca="1">SUM(INDIRECT(ADDRESS(savings_min_row,COLUMN())&amp;":"&amp; ADDRESS(savings_max_row,COLUMN())))</f>
        <v>0</v>
      </c>
      <c r="DS49" s="17" cm="1">
        <f t="array" aca="1" ref="DS49" ca="1">SUM(INDIRECT(ADDRESS(savings_min_row,COLUMN())&amp;":"&amp; ADDRESS(savings_max_row,COLUMN())))</f>
        <v>0</v>
      </c>
      <c r="DT49" s="17" cm="1">
        <f t="array" aca="1" ref="DT49" ca="1">SUM(INDIRECT(ADDRESS(savings_min_row,COLUMN())&amp;":"&amp; ADDRESS(savings_max_row,COLUMN())))</f>
        <v>0</v>
      </c>
      <c r="DU49" s="17" cm="1">
        <f t="array" aca="1" ref="DU49" ca="1">SUM(INDIRECT(ADDRESS(savings_min_row,COLUMN())&amp;":"&amp; ADDRESS(savings_max_row,COLUMN())))</f>
        <v>0</v>
      </c>
      <c r="DV49" s="17" cm="1">
        <f t="array" aca="1" ref="DV49" ca="1">SUM(INDIRECT(ADDRESS(savings_min_row,COLUMN())&amp;":"&amp; ADDRESS(savings_max_row,COLUMN())))</f>
        <v>0</v>
      </c>
      <c r="DW49" s="17" cm="1">
        <f t="array" aca="1" ref="DW49" ca="1">SUM(INDIRECT(ADDRESS(savings_min_row,COLUMN())&amp;":"&amp; ADDRESS(savings_max_row,COLUMN())))</f>
        <v>0</v>
      </c>
      <c r="DX49" s="17" cm="1">
        <f t="array" aca="1" ref="DX49" ca="1">SUM(INDIRECT(ADDRESS(savings_min_row,COLUMN())&amp;":"&amp; ADDRESS(savings_max_row,COLUMN())))</f>
        <v>0</v>
      </c>
      <c r="DY49" s="17" cm="1">
        <f t="array" aca="1" ref="DY49" ca="1">SUM(INDIRECT(ADDRESS(savings_min_row,COLUMN())&amp;":"&amp; ADDRESS(savings_max_row,COLUMN())))</f>
        <v>0</v>
      </c>
      <c r="EA49" s="17" cm="1">
        <f t="array" aca="1" ref="EA49" ca="1">SUM(INDIRECT(ADDRESS(savings_min_row,COLUMN())&amp;":"&amp; ADDRESS(savings_max_row,COLUMN())))</f>
        <v>0</v>
      </c>
      <c r="EB49" s="17" cm="1">
        <f t="array" aca="1" ref="EB49" ca="1">SUM(INDIRECT(ADDRESS(savings_min_row,COLUMN())&amp;":"&amp; ADDRESS(savings_max_row,COLUMN())))</f>
        <v>0</v>
      </c>
      <c r="EC49" s="17" cm="1">
        <f t="array" aca="1" ref="EC49" ca="1">SUM(INDIRECT(ADDRESS(savings_min_row,COLUMN())&amp;":"&amp; ADDRESS(savings_max_row,COLUMN())))</f>
        <v>0</v>
      </c>
      <c r="ED49" s="17" cm="1">
        <f t="array" aca="1" ref="ED49" ca="1">SUM(INDIRECT(ADDRESS(savings_min_row,COLUMN())&amp;":"&amp; ADDRESS(savings_max_row,COLUMN())))</f>
        <v>0</v>
      </c>
      <c r="EE49" s="17" cm="1">
        <f t="array" aca="1" ref="EE49" ca="1">SUM(INDIRECT(ADDRESS(savings_min_row,COLUMN())&amp;":"&amp; ADDRESS(savings_max_row,COLUMN())))</f>
        <v>0</v>
      </c>
      <c r="EF49" s="17" cm="1">
        <f t="array" aca="1" ref="EF49" ca="1">SUM(INDIRECT(ADDRESS(savings_min_row,COLUMN())&amp;":"&amp; ADDRESS(savings_max_row,COLUMN())))</f>
        <v>0</v>
      </c>
      <c r="EG49" s="17" cm="1">
        <f t="array" aca="1" ref="EG49" ca="1">SUM(INDIRECT(ADDRESS(savings_min_row,COLUMN())&amp;":"&amp; ADDRESS(savings_max_row,COLUMN())))</f>
        <v>0</v>
      </c>
      <c r="EH49" s="17" cm="1">
        <f t="array" aca="1" ref="EH49" ca="1">SUM(INDIRECT(ADDRESS(savings_min_row,COLUMN())&amp;":"&amp; ADDRESS(savings_max_row,COLUMN())))</f>
        <v>0</v>
      </c>
      <c r="EI49" s="17" cm="1">
        <f t="array" aca="1" ref="EI49" ca="1">SUM(INDIRECT(ADDRESS(savings_min_row,COLUMN())&amp;":"&amp; ADDRESS(savings_max_row,COLUMN())))</f>
        <v>0</v>
      </c>
      <c r="EJ49" s="17" cm="1">
        <f t="array" aca="1" ref="EJ49" ca="1">SUM(INDIRECT(ADDRESS(savings_min_row,COLUMN())&amp;":"&amp; ADDRESS(savings_max_row,COLUMN())))</f>
        <v>0</v>
      </c>
      <c r="EK49" s="17" cm="1">
        <f t="array" aca="1" ref="EK49" ca="1">SUM(INDIRECT(ADDRESS(savings_min_row,COLUMN())&amp;":"&amp; ADDRESS(savings_max_row,COLUMN())))</f>
        <v>0</v>
      </c>
      <c r="EL49" s="17" cm="1">
        <f t="array" aca="1" ref="EL49" ca="1">SUM(INDIRECT(ADDRESS(savings_min_row,COLUMN())&amp;":"&amp; ADDRESS(savings_max_row,COLUMN())))</f>
        <v>0</v>
      </c>
      <c r="EM49" s="17" cm="1">
        <f t="array" aca="1" ref="EM49" ca="1">SUM(INDIRECT(ADDRESS(savings_min_row,COLUMN())&amp;":"&amp; ADDRESS(savings_max_row,COLUMN())))</f>
        <v>0</v>
      </c>
    </row>
  </sheetData>
  <mergeCells count="10">
    <mergeCell ref="CK5:CW5"/>
    <mergeCell ref="CY5:DK5"/>
    <mergeCell ref="DM5:DY5"/>
    <mergeCell ref="EA5:EM5"/>
    <mergeCell ref="E5:Q5"/>
    <mergeCell ref="S5:AE5"/>
    <mergeCell ref="AG5:AS5"/>
    <mergeCell ref="AU5:BG5"/>
    <mergeCell ref="BI5:BU5"/>
    <mergeCell ref="BW5:CI5"/>
  </mergeCells>
  <conditionalFormatting sqref="C10:C19 E10:Q19 S10:AE19 AG10:AS19 AU10:BG19 BI10:BU19 BW10:CI19 CK10:CW19 CY10:DK19 DM10:DY19 EA10:EM19">
    <cfRule type="expression" dxfId="15" priority="9">
      <formula>ROW(A10)&lt;=income_max_row</formula>
    </cfRule>
  </conditionalFormatting>
  <conditionalFormatting sqref="C23:C35 E23:Q35 S23:AE35 AG23:AS35 AU23:BG35 BI23:BU35 BW23:CI35 CK23:CW35 CY23:DK35 DM23:DY35 EA23:EM35">
    <cfRule type="expression" dxfId="14" priority="7">
      <formula>ROW(A23)&lt;=expenses_max_row</formula>
    </cfRule>
  </conditionalFormatting>
  <conditionalFormatting sqref="C39:C48 E39:Q48 S39:AE48 AG39:AS48 AU39:BG48 BI39:BU48 BW39:CI48 CK39:CW48 CY39:DK48 DM39:DY48 EA39:EM48">
    <cfRule type="expression" dxfId="13" priority="5">
      <formula>ROW(A39)&lt;=savings_max_row</formula>
    </cfRule>
  </conditionalFormatting>
  <conditionalFormatting sqref="E6:Q7 S6:AE7 AG6:AS7 AU6:BG7 BI6:BU7 BW6:CI7 CK6:CW7 CY6:DK7 DM6:DY7 EA6:EM7">
    <cfRule type="expression" dxfId="12" priority="1" stopIfTrue="1">
      <formula>AND(E$20=0, E$36=0, E$49=0)</formula>
    </cfRule>
    <cfRule type="expression" dxfId="11" priority="2" stopIfTrue="1">
      <formula>E$7=0</formula>
    </cfRule>
    <cfRule type="expression" dxfId="10" priority="3">
      <formula>E$7&lt;0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9559-00D5-4E32-A22B-A6F1E0C6617D}">
  <dimension ref="C11:M73"/>
  <sheetViews>
    <sheetView zoomScale="88" zoomScaleNormal="88" workbookViewId="0">
      <pane ySplit="11" topLeftCell="A12" activePane="bottomLeft" state="frozen"/>
      <selection pane="bottomLeft" activeCell="A12" sqref="A12:XFD12"/>
    </sheetView>
  </sheetViews>
  <sheetFormatPr defaultRowHeight="14.4" x14ac:dyDescent="0.3"/>
  <cols>
    <col min="3" max="4" width="14.6640625" customWidth="1"/>
    <col min="5" max="5" width="29.44140625" customWidth="1"/>
    <col min="6" max="6" width="14.6640625" customWidth="1"/>
    <col min="7" max="7" width="21.44140625" customWidth="1"/>
    <col min="8" max="9" width="18.44140625" customWidth="1"/>
  </cols>
  <sheetData>
    <row r="11" spans="3:13" x14ac:dyDescent="0.3">
      <c r="C11" s="26" t="s">
        <v>29</v>
      </c>
      <c r="D11" s="26" t="s">
        <v>30</v>
      </c>
      <c r="E11" s="26" t="s">
        <v>31</v>
      </c>
      <c r="F11" s="26" t="s">
        <v>32</v>
      </c>
      <c r="G11" s="26" t="s">
        <v>33</v>
      </c>
      <c r="H11" s="31" t="s">
        <v>34</v>
      </c>
      <c r="I11" s="31" t="s">
        <v>35</v>
      </c>
    </row>
    <row r="12" spans="3:13" x14ac:dyDescent="0.3">
      <c r="C12" s="28">
        <v>45653</v>
      </c>
      <c r="D12" s="27" t="s">
        <v>4</v>
      </c>
      <c r="E12" s="27" t="s">
        <v>7</v>
      </c>
      <c r="F12" s="29"/>
      <c r="G12" s="30"/>
      <c r="H12" s="32" cm="1">
        <f t="array" ref="H12">SUMPRODUCT(Tracking[Amount], --(Tracking[Date]&lt;=Tracking[[#This Row],[Date]]), (Tracking[Type]&lt;&gt;"Income") * (-1) + (Tracking[Type]="Income"))</f>
        <v>0</v>
      </c>
      <c r="I12" s="37">
        <f>IF(AND(Tracking[[#This Row],[Type]]="Income", shift_late_income_status="Active", DAY(Tracking[[#This Row],[Date]])&gt;=shift_late_income_starting_day), DATE(YEAR(Tracking[[#This Row],[Date]]), MONTH(Tracking[[#This Row],[Date]])+1, 1), Tracking[[#This Row],[Date]])</f>
        <v>45658</v>
      </c>
      <c r="K12" s="56"/>
      <c r="M12" s="56"/>
    </row>
    <row r="13" spans="3:13" x14ac:dyDescent="0.3">
      <c r="C13" s="28">
        <v>45659</v>
      </c>
      <c r="D13" s="27" t="s">
        <v>4</v>
      </c>
      <c r="E13" s="27" t="s">
        <v>9</v>
      </c>
      <c r="F13" s="29">
        <v>1200</v>
      </c>
      <c r="G13" s="30"/>
      <c r="H13" s="32" cm="1">
        <f t="array" ref="H13">SUMPRODUCT(Tracking[Amount], --(Tracking[Date]&lt;=Tracking[[#This Row],[Date]]), (Tracking[Type]&lt;&gt;"Income") * (-1) + (Tracking[Type]="Income"))</f>
        <v>1200</v>
      </c>
      <c r="I13" s="37">
        <f>IF(AND(Tracking[[#This Row],[Type]]="Income", shift_late_income_status="Active", DAY(Tracking[[#This Row],[Date]])&gt;=shift_late_income_starting_day), DATE(YEAR(Tracking[[#This Row],[Date]]), MONTH(Tracking[[#This Row],[Date]])+1, 1), Tracking[[#This Row],[Date]])</f>
        <v>45659</v>
      </c>
    </row>
    <row r="14" spans="3:13" x14ac:dyDescent="0.3">
      <c r="C14" s="28">
        <v>45660</v>
      </c>
      <c r="D14" s="27" t="s">
        <v>10</v>
      </c>
      <c r="E14" s="27" t="s">
        <v>23</v>
      </c>
      <c r="F14" s="29">
        <v>150</v>
      </c>
      <c r="G14" s="30"/>
      <c r="H14" s="32" cm="1">
        <f t="array" ref="H14">SUMPRODUCT(Tracking[Amount], --(Tracking[Date]&lt;=Tracking[[#This Row],[Date]]), (Tracking[Type]&lt;&gt;"Income") * (-1) + (Tracking[Type]="Income"))</f>
        <v>1050</v>
      </c>
      <c r="I14" s="37">
        <f>IF(AND(Tracking[[#This Row],[Type]]="Income", shift_late_income_status="Active", DAY(Tracking[[#This Row],[Date]])&gt;=shift_late_income_starting_day), DATE(YEAR(Tracking[[#This Row],[Date]]), MONTH(Tracking[[#This Row],[Date]])+1, 1), Tracking[[#This Row],[Date]])</f>
        <v>45660</v>
      </c>
    </row>
    <row r="15" spans="3:13" x14ac:dyDescent="0.3">
      <c r="C15" s="28">
        <v>45661</v>
      </c>
      <c r="D15" s="27" t="s">
        <v>15</v>
      </c>
      <c r="E15" s="27" t="s">
        <v>27</v>
      </c>
      <c r="F15" s="29">
        <v>1000</v>
      </c>
      <c r="G15" s="30"/>
      <c r="H15" s="32" cm="1">
        <f t="array" ref="H15">SUMPRODUCT(Tracking[Amount], --(Tracking[Date]&lt;=Tracking[[#This Row],[Date]]), (Tracking[Type]&lt;&gt;"Income") * (-1) + (Tracking[Type]="Income"))</f>
        <v>50</v>
      </c>
      <c r="I15" s="37">
        <f>IF(AND(Tracking[[#This Row],[Type]]="Income", shift_late_income_status="Active", DAY(Tracking[[#This Row],[Date]])&gt;=shift_late_income_starting_day), DATE(YEAR(Tracking[[#This Row],[Date]]), MONTH(Tracking[[#This Row],[Date]])+1, 1), Tracking[[#This Row],[Date]])</f>
        <v>45661</v>
      </c>
    </row>
    <row r="16" spans="3:13" x14ac:dyDescent="0.3">
      <c r="C16" s="28">
        <v>45662</v>
      </c>
      <c r="D16" s="27" t="s">
        <v>4</v>
      </c>
      <c r="E16" s="27" t="s">
        <v>7</v>
      </c>
      <c r="F16" s="29">
        <v>2000</v>
      </c>
      <c r="G16" s="30"/>
      <c r="H16" s="32" cm="1">
        <f t="array" ref="H16">SUMPRODUCT(Tracking[Amount], --(Tracking[Date]&lt;=Tracking[[#This Row],[Date]]), (Tracking[Type]&lt;&gt;"Income") * (-1) + (Tracking[Type]="Income"))</f>
        <v>2050</v>
      </c>
      <c r="I16" s="37">
        <f>IF(AND(Tracking[[#This Row],[Type]]="Income", shift_late_income_status="Active", DAY(Tracking[[#This Row],[Date]])&gt;=shift_late_income_starting_day), DATE(YEAR(Tracking[[#This Row],[Date]]), MONTH(Tracking[[#This Row],[Date]])+1, 1), Tracking[[#This Row],[Date]])</f>
        <v>45662</v>
      </c>
    </row>
    <row r="17" spans="3:9" x14ac:dyDescent="0.3">
      <c r="C17" s="28">
        <v>45664</v>
      </c>
      <c r="D17" s="27" t="s">
        <v>10</v>
      </c>
      <c r="E17" s="27" t="s">
        <v>12</v>
      </c>
      <c r="F17" s="29">
        <v>200</v>
      </c>
      <c r="G17" s="30"/>
      <c r="H17" s="32" cm="1">
        <f t="array" ref="H17">SUMPRODUCT(Tracking[Amount], --(Tracking[Date]&lt;=Tracking[[#This Row],[Date]]), (Tracking[Type]&lt;&gt;"Income") * (-1) + (Tracking[Type]="Income"))</f>
        <v>1850</v>
      </c>
      <c r="I17" s="37">
        <f>IF(AND(Tracking[[#This Row],[Type]]="Income", shift_late_income_status="Active", DAY(Tracking[[#This Row],[Date]])&gt;=shift_late_income_starting_day), DATE(YEAR(Tracking[[#This Row],[Date]]), MONTH(Tracking[[#This Row],[Date]])+1, 1), Tracking[[#This Row],[Date]])</f>
        <v>45664</v>
      </c>
    </row>
    <row r="18" spans="3:9" x14ac:dyDescent="0.3">
      <c r="C18" s="28">
        <v>45666</v>
      </c>
      <c r="D18" s="27" t="s">
        <v>15</v>
      </c>
      <c r="E18" s="27" t="s">
        <v>18</v>
      </c>
      <c r="F18" s="29">
        <v>500</v>
      </c>
      <c r="G18" s="30"/>
      <c r="H18" s="32" cm="1">
        <f t="array" ref="H18">SUMPRODUCT(Tracking[Amount], --(Tracking[Date]&lt;=Tracking[[#This Row],[Date]]), (Tracking[Type]&lt;&gt;"Income") * (-1) + (Tracking[Type]="Income"))</f>
        <v>1350</v>
      </c>
      <c r="I18" s="37">
        <f>IF(AND(Tracking[[#This Row],[Type]]="Income", shift_late_income_status="Active", DAY(Tracking[[#This Row],[Date]])&gt;=shift_late_income_starting_day), DATE(YEAR(Tracking[[#This Row],[Date]]), MONTH(Tracking[[#This Row],[Date]])+1, 1), Tracking[[#This Row],[Date]])</f>
        <v>45666</v>
      </c>
    </row>
    <row r="19" spans="3:9" x14ac:dyDescent="0.3">
      <c r="C19" s="28">
        <v>45667</v>
      </c>
      <c r="D19" s="27" t="s">
        <v>10</v>
      </c>
      <c r="E19" s="27" t="s">
        <v>22</v>
      </c>
      <c r="F19" s="29">
        <v>100</v>
      </c>
      <c r="G19" s="30"/>
      <c r="H19" s="32" cm="1">
        <f t="array" ref="H19">SUMPRODUCT(Tracking[Amount], --(Tracking[Date]&lt;=Tracking[[#This Row],[Date]]), (Tracking[Type]&lt;&gt;"Income") * (-1) + (Tracking[Type]="Income"))</f>
        <v>950</v>
      </c>
      <c r="I19" s="37">
        <f>IF(AND(Tracking[[#This Row],[Type]]="Income", shift_late_income_status="Active", DAY(Tracking[[#This Row],[Date]])&gt;=shift_late_income_starting_day), DATE(YEAR(Tracking[[#This Row],[Date]]), MONTH(Tracking[[#This Row],[Date]])+1, 1), Tracking[[#This Row],[Date]])</f>
        <v>45667</v>
      </c>
    </row>
    <row r="20" spans="3:9" x14ac:dyDescent="0.3">
      <c r="C20" s="28">
        <v>45667</v>
      </c>
      <c r="D20" s="27" t="s">
        <v>15</v>
      </c>
      <c r="E20" s="27" t="s">
        <v>18</v>
      </c>
      <c r="F20" s="29">
        <v>300</v>
      </c>
      <c r="G20" s="30"/>
      <c r="H20" s="32" cm="1">
        <f t="array" ref="H20">SUMPRODUCT(Tracking[Amount], --(Tracking[Date]&lt;=Tracking[[#This Row],[Date]]), (Tracking[Type]&lt;&gt;"Income") * (-1) + (Tracking[Type]="Income"))</f>
        <v>950</v>
      </c>
      <c r="I20" s="37">
        <f>IF(AND(Tracking[[#This Row],[Type]]="Income", shift_late_income_status="Active", DAY(Tracking[[#This Row],[Date]])&gt;=shift_late_income_starting_day), DATE(YEAR(Tracking[[#This Row],[Date]]), MONTH(Tracking[[#This Row],[Date]])+1, 1), Tracking[[#This Row],[Date]])</f>
        <v>45667</v>
      </c>
    </row>
    <row r="21" spans="3:9" x14ac:dyDescent="0.3">
      <c r="C21" s="28">
        <v>45669</v>
      </c>
      <c r="D21" s="27" t="s">
        <v>10</v>
      </c>
      <c r="E21" s="27" t="s">
        <v>23</v>
      </c>
      <c r="F21" s="29">
        <v>100</v>
      </c>
      <c r="G21" s="30"/>
      <c r="H21" s="32" cm="1">
        <f t="array" ref="H21">SUMPRODUCT(Tracking[Amount], --(Tracking[Date]&lt;=Tracking[[#This Row],[Date]]), (Tracking[Type]&lt;&gt;"Income") * (-1) + (Tracking[Type]="Income"))</f>
        <v>850</v>
      </c>
      <c r="I21" s="37">
        <f>IF(AND(Tracking[[#This Row],[Type]]="Income", shift_late_income_status="Active", DAY(Tracking[[#This Row],[Date]])&gt;=shift_late_income_starting_day), DATE(YEAR(Tracking[[#This Row],[Date]]), MONTH(Tracking[[#This Row],[Date]])+1, 1), Tracking[[#This Row],[Date]])</f>
        <v>45669</v>
      </c>
    </row>
    <row r="22" spans="3:9" x14ac:dyDescent="0.3">
      <c r="C22" s="28">
        <v>45670</v>
      </c>
      <c r="D22" s="27" t="s">
        <v>4</v>
      </c>
      <c r="E22" s="27" t="s">
        <v>9</v>
      </c>
      <c r="F22" s="29">
        <v>500</v>
      </c>
      <c r="G22" s="30"/>
      <c r="H22" s="32" cm="1">
        <f t="array" ref="H22">SUMPRODUCT(Tracking[Amount], --(Tracking[Date]&lt;=Tracking[[#This Row],[Date]]), (Tracking[Type]&lt;&gt;"Income") * (-1) + (Tracking[Type]="Income"))</f>
        <v>1350</v>
      </c>
      <c r="I22" s="37">
        <f>IF(AND(Tracking[[#This Row],[Type]]="Income", shift_late_income_status="Active", DAY(Tracking[[#This Row],[Date]])&gt;=shift_late_income_starting_day), DATE(YEAR(Tracking[[#This Row],[Date]]), MONTH(Tracking[[#This Row],[Date]])+1, 1), Tracking[[#This Row],[Date]])</f>
        <v>45670</v>
      </c>
    </row>
    <row r="23" spans="3:9" x14ac:dyDescent="0.3">
      <c r="C23" s="28">
        <v>45671</v>
      </c>
      <c r="D23" s="27" t="s">
        <v>10</v>
      </c>
      <c r="E23" s="27" t="s">
        <v>21</v>
      </c>
      <c r="F23" s="29">
        <v>200</v>
      </c>
      <c r="G23" s="30"/>
      <c r="H23" s="32" cm="1">
        <f t="array" ref="H23">SUMPRODUCT(Tracking[Amount], --(Tracking[Date]&lt;=Tracking[[#This Row],[Date]]), (Tracking[Type]&lt;&gt;"Income") * (-1) + (Tracking[Type]="Income"))</f>
        <v>1150</v>
      </c>
      <c r="I23" s="37">
        <f>IF(AND(Tracking[[#This Row],[Type]]="Income", shift_late_income_status="Active", DAY(Tracking[[#This Row],[Date]])&gt;=shift_late_income_starting_day), DATE(YEAR(Tracking[[#This Row],[Date]]), MONTH(Tracking[[#This Row],[Date]])+1, 1), Tracking[[#This Row],[Date]])</f>
        <v>45671</v>
      </c>
    </row>
    <row r="24" spans="3:9" x14ac:dyDescent="0.3">
      <c r="C24" s="28">
        <v>45672</v>
      </c>
      <c r="D24" s="27" t="s">
        <v>15</v>
      </c>
      <c r="E24" s="27" t="s">
        <v>16</v>
      </c>
      <c r="F24" s="29">
        <v>400</v>
      </c>
      <c r="G24" s="30"/>
      <c r="H24" s="32" cm="1">
        <f t="array" ref="H24">SUMPRODUCT(Tracking[Amount], --(Tracking[Date]&lt;=Tracking[[#This Row],[Date]]), (Tracking[Type]&lt;&gt;"Income") * (-1) + (Tracking[Type]="Income"))</f>
        <v>750</v>
      </c>
      <c r="I24" s="37">
        <f>IF(AND(Tracking[[#This Row],[Type]]="Income", shift_late_income_status="Active", DAY(Tracking[[#This Row],[Date]])&gt;=shift_late_income_starting_day), DATE(YEAR(Tracking[[#This Row],[Date]]), MONTH(Tracking[[#This Row],[Date]])+1, 1), Tracking[[#This Row],[Date]])</f>
        <v>45672</v>
      </c>
    </row>
    <row r="25" spans="3:9" x14ac:dyDescent="0.3">
      <c r="C25" s="28">
        <v>45674</v>
      </c>
      <c r="D25" s="27" t="s">
        <v>10</v>
      </c>
      <c r="E25" s="27" t="s">
        <v>24</v>
      </c>
      <c r="F25" s="29">
        <v>100</v>
      </c>
      <c r="G25" s="30"/>
      <c r="H25" s="32" cm="1">
        <f t="array" ref="H25">SUMPRODUCT(Tracking[Amount], --(Tracking[Date]&lt;=Tracking[[#This Row],[Date]]), (Tracking[Type]&lt;&gt;"Income") * (-1) + (Tracking[Type]="Income"))</f>
        <v>650</v>
      </c>
      <c r="I25" s="37">
        <f>IF(AND(Tracking[[#This Row],[Type]]="Income", shift_late_income_status="Active", DAY(Tracking[[#This Row],[Date]])&gt;=shift_late_income_starting_day), DATE(YEAR(Tracking[[#This Row],[Date]]), MONTH(Tracking[[#This Row],[Date]])+1, 1), Tracking[[#This Row],[Date]])</f>
        <v>45674</v>
      </c>
    </row>
    <row r="26" spans="3:9" x14ac:dyDescent="0.3">
      <c r="C26" s="28">
        <v>45675</v>
      </c>
      <c r="D26" s="27" t="s">
        <v>10</v>
      </c>
      <c r="E26" s="27" t="s">
        <v>11</v>
      </c>
      <c r="F26" s="29">
        <v>400</v>
      </c>
      <c r="G26" s="30"/>
      <c r="H26" s="32" cm="1">
        <f t="array" ref="H26">SUMPRODUCT(Tracking[Amount], --(Tracking[Date]&lt;=Tracking[[#This Row],[Date]]), (Tracking[Type]&lt;&gt;"Income") * (-1) + (Tracking[Type]="Income"))</f>
        <v>250</v>
      </c>
      <c r="I26" s="37">
        <f>IF(AND(Tracking[[#This Row],[Type]]="Income", shift_late_income_status="Active", DAY(Tracking[[#This Row],[Date]])&gt;=shift_late_income_starting_day), DATE(YEAR(Tracking[[#This Row],[Date]]), MONTH(Tracking[[#This Row],[Date]])+1, 1), Tracking[[#This Row],[Date]])</f>
        <v>45675</v>
      </c>
    </row>
    <row r="27" spans="3:9" x14ac:dyDescent="0.3">
      <c r="C27" s="28">
        <v>45676</v>
      </c>
      <c r="D27" s="27" t="s">
        <v>15</v>
      </c>
      <c r="E27" s="27" t="s">
        <v>17</v>
      </c>
      <c r="F27" s="29">
        <v>100</v>
      </c>
      <c r="G27" s="30"/>
      <c r="H27" s="32" cm="1">
        <f t="array" ref="H27">SUMPRODUCT(Tracking[Amount], --(Tracking[Date]&lt;=Tracking[[#This Row],[Date]]), (Tracking[Type]&lt;&gt;"Income") * (-1) + (Tracking[Type]="Income"))</f>
        <v>150</v>
      </c>
      <c r="I27" s="37">
        <f>IF(AND(Tracking[[#This Row],[Type]]="Income", shift_late_income_status="Active", DAY(Tracking[[#This Row],[Date]])&gt;=shift_late_income_starting_day), DATE(YEAR(Tracking[[#This Row],[Date]]), MONTH(Tracking[[#This Row],[Date]])+1, 1), Tracking[[#This Row],[Date]])</f>
        <v>45676</v>
      </c>
    </row>
    <row r="28" spans="3:9" x14ac:dyDescent="0.3">
      <c r="C28" s="28">
        <v>45678</v>
      </c>
      <c r="D28" s="27" t="s">
        <v>10</v>
      </c>
      <c r="E28" s="27" t="s">
        <v>21</v>
      </c>
      <c r="F28" s="29">
        <v>500</v>
      </c>
      <c r="G28" s="30"/>
      <c r="H28" s="32" cm="1">
        <f t="array" ref="H28">SUMPRODUCT(Tracking[Amount], --(Tracking[Date]&lt;=Tracking[[#This Row],[Date]]), (Tracking[Type]&lt;&gt;"Income") * (-1) + (Tracking[Type]="Income"))</f>
        <v>-350</v>
      </c>
      <c r="I28" s="37">
        <f>IF(AND(Tracking[[#This Row],[Type]]="Income", shift_late_income_status="Active", DAY(Tracking[[#This Row],[Date]])&gt;=shift_late_income_starting_day), DATE(YEAR(Tracking[[#This Row],[Date]]), MONTH(Tracking[[#This Row],[Date]])+1, 1), Tracking[[#This Row],[Date]])</f>
        <v>45678</v>
      </c>
    </row>
    <row r="29" spans="3:9" x14ac:dyDescent="0.3">
      <c r="C29" s="28">
        <v>45679</v>
      </c>
      <c r="D29" s="27" t="s">
        <v>10</v>
      </c>
      <c r="E29" s="27" t="s">
        <v>26</v>
      </c>
      <c r="F29" s="29">
        <v>500</v>
      </c>
      <c r="G29" s="30"/>
      <c r="H29" s="32" cm="1">
        <f t="array" ref="H29">SUMPRODUCT(Tracking[Amount], --(Tracking[Date]&lt;=Tracking[[#This Row],[Date]]), (Tracking[Type]&lt;&gt;"Income") * (-1) + (Tracking[Type]="Income"))</f>
        <v>-850</v>
      </c>
      <c r="I29" s="37">
        <f>IF(AND(Tracking[[#This Row],[Type]]="Income", shift_late_income_status="Active", DAY(Tracking[[#This Row],[Date]])&gt;=shift_late_income_starting_day), DATE(YEAR(Tracking[[#This Row],[Date]]), MONTH(Tracking[[#This Row],[Date]])+1, 1), Tracking[[#This Row],[Date]])</f>
        <v>45679</v>
      </c>
    </row>
    <row r="30" spans="3:9" x14ac:dyDescent="0.3">
      <c r="C30" s="28">
        <v>45681</v>
      </c>
      <c r="D30" s="27" t="s">
        <v>10</v>
      </c>
      <c r="E30" s="27" t="s">
        <v>25</v>
      </c>
      <c r="F30" s="29">
        <v>100</v>
      </c>
      <c r="G30" s="30"/>
      <c r="H30" s="32" cm="1">
        <f t="array" ref="H30">SUMPRODUCT(Tracking[Amount], --(Tracking[Date]&lt;=Tracking[[#This Row],[Date]]), (Tracking[Type]&lt;&gt;"Income") * (-1) + (Tracking[Type]="Income"))</f>
        <v>-950</v>
      </c>
      <c r="I30" s="37">
        <f>IF(AND(Tracking[[#This Row],[Type]]="Income", shift_late_income_status="Active", DAY(Tracking[[#This Row],[Date]])&gt;=shift_late_income_starting_day), DATE(YEAR(Tracking[[#This Row],[Date]]), MONTH(Tracking[[#This Row],[Date]])+1, 1), Tracking[[#This Row],[Date]])</f>
        <v>45681</v>
      </c>
    </row>
    <row r="31" spans="3:9" x14ac:dyDescent="0.3">
      <c r="C31" s="28">
        <v>45682</v>
      </c>
      <c r="D31" s="27" t="s">
        <v>4</v>
      </c>
      <c r="E31" s="27" t="s">
        <v>7</v>
      </c>
      <c r="F31" s="29">
        <v>6000</v>
      </c>
      <c r="G31" s="30"/>
      <c r="H31" s="32" cm="1">
        <f t="array" ref="H31">SUMPRODUCT(Tracking[Amount], --(Tracking[Date]&lt;=Tracking[[#This Row],[Date]]), (Tracking[Type]&lt;&gt;"Income") * (-1) + (Tracking[Type]="Income"))</f>
        <v>5050</v>
      </c>
      <c r="I31" s="37">
        <f>IF(AND(Tracking[[#This Row],[Type]]="Income", shift_late_income_status="Active", DAY(Tracking[[#This Row],[Date]])&gt;=shift_late_income_starting_day), DATE(YEAR(Tracking[[#This Row],[Date]]), MONTH(Tracking[[#This Row],[Date]])+1, 1), Tracking[[#This Row],[Date]])</f>
        <v>45689</v>
      </c>
    </row>
    <row r="32" spans="3:9" x14ac:dyDescent="0.3">
      <c r="C32" s="28">
        <v>45683</v>
      </c>
      <c r="D32" s="27" t="s">
        <v>10</v>
      </c>
      <c r="E32" s="27" t="s">
        <v>26</v>
      </c>
      <c r="F32" s="29">
        <v>3000</v>
      </c>
      <c r="G32" s="30"/>
      <c r="H32" s="32" cm="1">
        <f t="array" ref="H32">SUMPRODUCT(Tracking[Amount], --(Tracking[Date]&lt;=Tracking[[#This Row],[Date]]), (Tracking[Type]&lt;&gt;"Income") * (-1) + (Tracking[Type]="Income"))</f>
        <v>2050</v>
      </c>
      <c r="I32" s="37">
        <f>IF(AND(Tracking[[#This Row],[Type]]="Income", shift_late_income_status="Active", DAY(Tracking[[#This Row],[Date]])&gt;=shift_late_income_starting_day), DATE(YEAR(Tracking[[#This Row],[Date]]), MONTH(Tracking[[#This Row],[Date]])+1, 1), Tracking[[#This Row],[Date]])</f>
        <v>45683</v>
      </c>
    </row>
    <row r="33" spans="3:9" x14ac:dyDescent="0.3">
      <c r="C33" s="28">
        <v>45685</v>
      </c>
      <c r="D33" s="27" t="s">
        <v>10</v>
      </c>
      <c r="E33" s="27" t="s">
        <v>25</v>
      </c>
      <c r="F33" s="29">
        <v>200</v>
      </c>
      <c r="G33" s="30"/>
      <c r="H33" s="32" cm="1">
        <f t="array" ref="H33">SUMPRODUCT(Tracking[Amount], --(Tracking[Date]&lt;=Tracking[[#This Row],[Date]]), (Tracking[Type]&lt;&gt;"Income") * (-1) + (Tracking[Type]="Income"))</f>
        <v>1850</v>
      </c>
      <c r="I33" s="37">
        <f>IF(AND(Tracking[[#This Row],[Type]]="Income", shift_late_income_status="Active", DAY(Tracking[[#This Row],[Date]])&gt;=shift_late_income_starting_day), DATE(YEAR(Tracking[[#This Row],[Date]]), MONTH(Tracking[[#This Row],[Date]])+1, 1), Tracking[[#This Row],[Date]])</f>
        <v>45685</v>
      </c>
    </row>
    <row r="34" spans="3:9" x14ac:dyDescent="0.3">
      <c r="C34" s="28">
        <v>45688</v>
      </c>
      <c r="D34" s="27" t="s">
        <v>10</v>
      </c>
      <c r="E34" s="27" t="s">
        <v>23</v>
      </c>
      <c r="F34" s="29">
        <v>300</v>
      </c>
      <c r="G34" s="30"/>
      <c r="H34" s="32" cm="1">
        <f t="array" ref="H34">SUMPRODUCT(Tracking[Amount], --(Tracking[Date]&lt;=Tracking[[#This Row],[Date]]), (Tracking[Type]&lt;&gt;"Income") * (-1) + (Tracking[Type]="Income"))</f>
        <v>950</v>
      </c>
      <c r="I34" s="37">
        <f>IF(AND(Tracking[[#This Row],[Type]]="Income", shift_late_income_status="Active", DAY(Tracking[[#This Row],[Date]])&gt;=shift_late_income_starting_day), DATE(YEAR(Tracking[[#This Row],[Date]]), MONTH(Tracking[[#This Row],[Date]])+1, 1), Tracking[[#This Row],[Date]])</f>
        <v>45688</v>
      </c>
    </row>
    <row r="35" spans="3:9" x14ac:dyDescent="0.3">
      <c r="C35" s="28">
        <v>45688</v>
      </c>
      <c r="D35" s="27" t="s">
        <v>10</v>
      </c>
      <c r="E35" s="27" t="s">
        <v>25</v>
      </c>
      <c r="F35" s="29">
        <v>200</v>
      </c>
      <c r="G35" s="30"/>
      <c r="H35" s="32" cm="1">
        <f t="array" ref="H35">SUMPRODUCT(Tracking[Amount], --(Tracking[Date]&lt;=Tracking[[#This Row],[Date]]), (Tracking[Type]&lt;&gt;"Income") * (-1) + (Tracking[Type]="Income"))</f>
        <v>950</v>
      </c>
      <c r="I35" s="37">
        <f>IF(AND(Tracking[[#This Row],[Type]]="Income", shift_late_income_status="Active", DAY(Tracking[[#This Row],[Date]])&gt;=shift_late_income_starting_day), DATE(YEAR(Tracking[[#This Row],[Date]]), MONTH(Tracking[[#This Row],[Date]])+1, 1), Tracking[[#This Row],[Date]])</f>
        <v>45688</v>
      </c>
    </row>
    <row r="36" spans="3:9" x14ac:dyDescent="0.3">
      <c r="C36" s="28">
        <v>45688</v>
      </c>
      <c r="D36" s="27" t="s">
        <v>10</v>
      </c>
      <c r="E36" s="27" t="s">
        <v>22</v>
      </c>
      <c r="F36" s="29">
        <v>400</v>
      </c>
      <c r="G36" s="30"/>
      <c r="H36" s="32" cm="1">
        <f t="array" ref="H36">SUMPRODUCT(Tracking[Amount], --(Tracking[Date]&lt;=Tracking[[#This Row],[Date]]), (Tracking[Type]&lt;&gt;"Income") * (-1) + (Tracking[Type]="Income"))</f>
        <v>950</v>
      </c>
      <c r="I36" s="37">
        <f>IF(AND(Tracking[[#This Row],[Type]]="Income", shift_late_income_status="Active", DAY(Tracking[[#This Row],[Date]])&gt;=shift_late_income_starting_day), DATE(YEAR(Tracking[[#This Row],[Date]]), MONTH(Tracking[[#This Row],[Date]])+1, 1), Tracking[[#This Row],[Date]])</f>
        <v>45688</v>
      </c>
    </row>
    <row r="37" spans="3:9" x14ac:dyDescent="0.3">
      <c r="C37" s="28">
        <v>45689</v>
      </c>
      <c r="D37" s="27" t="s">
        <v>10</v>
      </c>
      <c r="E37" s="27" t="s">
        <v>21</v>
      </c>
      <c r="F37" s="29">
        <v>400</v>
      </c>
      <c r="G37" s="30"/>
      <c r="H37" s="32" cm="1">
        <f t="array" ref="H37">SUMPRODUCT(Tracking[Amount], --(Tracking[Date]&lt;=Tracking[[#This Row],[Date]]), (Tracking[Type]&lt;&gt;"Income") * (-1) + (Tracking[Type]="Income"))</f>
        <v>550</v>
      </c>
      <c r="I37" s="37">
        <f>IF(AND(Tracking[[#This Row],[Type]]="Income", shift_late_income_status="Active", DAY(Tracking[[#This Row],[Date]])&gt;=shift_late_income_starting_day), DATE(YEAR(Tracking[[#This Row],[Date]]), MONTH(Tracking[[#This Row],[Date]])+1, 1), Tracking[[#This Row],[Date]])</f>
        <v>45689</v>
      </c>
    </row>
    <row r="38" spans="3:9" x14ac:dyDescent="0.3">
      <c r="C38" s="28">
        <v>45690</v>
      </c>
      <c r="D38" s="27" t="s">
        <v>10</v>
      </c>
      <c r="E38" s="27" t="s">
        <v>25</v>
      </c>
      <c r="F38" s="29">
        <v>300</v>
      </c>
      <c r="G38" s="30"/>
      <c r="H38" s="32" cm="1">
        <f t="array" ref="H38">SUMPRODUCT(Tracking[Amount], --(Tracking[Date]&lt;=Tracking[[#This Row],[Date]]), (Tracking[Type]&lt;&gt;"Income") * (-1) + (Tracking[Type]="Income"))</f>
        <v>250</v>
      </c>
      <c r="I38" s="37">
        <f>IF(AND(Tracking[[#This Row],[Type]]="Income", shift_late_income_status="Active", DAY(Tracking[[#This Row],[Date]])&gt;=shift_late_income_starting_day), DATE(YEAR(Tracking[[#This Row],[Date]]), MONTH(Tracking[[#This Row],[Date]])+1, 1), Tracking[[#This Row],[Date]])</f>
        <v>45690</v>
      </c>
    </row>
    <row r="39" spans="3:9" x14ac:dyDescent="0.3">
      <c r="C39" s="28">
        <v>45693</v>
      </c>
      <c r="D39" s="27" t="s">
        <v>4</v>
      </c>
      <c r="E39" s="27" t="s">
        <v>7</v>
      </c>
      <c r="F39" s="29">
        <v>4000</v>
      </c>
      <c r="G39" s="30"/>
      <c r="H39" s="32" cm="1">
        <f t="array" ref="H39">SUMPRODUCT(Tracking[Amount], --(Tracking[Date]&lt;=Tracking[[#This Row],[Date]]), (Tracking[Type]&lt;&gt;"Income") * (-1) + (Tracking[Type]="Income"))</f>
        <v>4250</v>
      </c>
      <c r="I39" s="37">
        <f>IF(AND(Tracking[[#This Row],[Type]]="Income", shift_late_income_status="Active", DAY(Tracking[[#This Row],[Date]])&gt;=shift_late_income_starting_day), DATE(YEAR(Tracking[[#This Row],[Date]]), MONTH(Tracking[[#This Row],[Date]])+1, 1), Tracking[[#This Row],[Date]])</f>
        <v>45693</v>
      </c>
    </row>
    <row r="40" spans="3:9" x14ac:dyDescent="0.3">
      <c r="C40" s="28">
        <v>45695</v>
      </c>
      <c r="D40" s="27" t="s">
        <v>10</v>
      </c>
      <c r="E40" s="27" t="s">
        <v>21</v>
      </c>
      <c r="F40" s="29">
        <v>300</v>
      </c>
      <c r="G40" s="30"/>
      <c r="H40" s="32" cm="1">
        <f t="array" ref="H40">SUMPRODUCT(Tracking[Amount], --(Tracking[Date]&lt;=Tracking[[#This Row],[Date]]), (Tracking[Type]&lt;&gt;"Income") * (-1) + (Tracking[Type]="Income"))</f>
        <v>3950</v>
      </c>
      <c r="I40" s="37">
        <f>IF(AND(Tracking[[#This Row],[Type]]="Income", shift_late_income_status="Active", DAY(Tracking[[#This Row],[Date]])&gt;=shift_late_income_starting_day), DATE(YEAR(Tracking[[#This Row],[Date]]), MONTH(Tracking[[#This Row],[Date]])+1, 1), Tracking[[#This Row],[Date]])</f>
        <v>45695</v>
      </c>
    </row>
    <row r="41" spans="3:9" x14ac:dyDescent="0.3">
      <c r="C41" s="28">
        <v>45696</v>
      </c>
      <c r="D41" s="27" t="s">
        <v>10</v>
      </c>
      <c r="E41" s="27" t="s">
        <v>25</v>
      </c>
      <c r="F41" s="29">
        <v>100</v>
      </c>
      <c r="G41" s="30"/>
      <c r="H41" s="32" cm="1">
        <f t="array" ref="H41">SUMPRODUCT(Tracking[Amount], --(Tracking[Date]&lt;=Tracking[[#This Row],[Date]]), (Tracking[Type]&lt;&gt;"Income") * (-1) + (Tracking[Type]="Income"))</f>
        <v>3850</v>
      </c>
      <c r="I41" s="37">
        <f>IF(AND(Tracking[[#This Row],[Type]]="Income", shift_late_income_status="Active", DAY(Tracking[[#This Row],[Date]])&gt;=shift_late_income_starting_day), DATE(YEAR(Tracking[[#This Row],[Date]]), MONTH(Tracking[[#This Row],[Date]])+1, 1), Tracking[[#This Row],[Date]])</f>
        <v>45696</v>
      </c>
    </row>
    <row r="42" spans="3:9" x14ac:dyDescent="0.3">
      <c r="C42" s="28">
        <v>45698</v>
      </c>
      <c r="D42" s="27" t="s">
        <v>10</v>
      </c>
      <c r="E42" s="27" t="s">
        <v>21</v>
      </c>
      <c r="F42" s="29">
        <v>200</v>
      </c>
      <c r="G42" s="30"/>
      <c r="H42" s="32" cm="1">
        <f t="array" ref="H42">SUMPRODUCT(Tracking[Amount], --(Tracking[Date]&lt;=Tracking[[#This Row],[Date]]), (Tracking[Type]&lt;&gt;"Income") * (-1) + (Tracking[Type]="Income"))</f>
        <v>3650</v>
      </c>
      <c r="I42" s="37">
        <f>IF(AND(Tracking[[#This Row],[Type]]="Income", shift_late_income_status="Active", DAY(Tracking[[#This Row],[Date]])&gt;=shift_late_income_starting_day), DATE(YEAR(Tracking[[#This Row],[Date]]), MONTH(Tracking[[#This Row],[Date]])+1, 1), Tracking[[#This Row],[Date]])</f>
        <v>45698</v>
      </c>
    </row>
    <row r="43" spans="3:9" x14ac:dyDescent="0.3">
      <c r="C43" s="28">
        <v>45699</v>
      </c>
      <c r="D43" s="27" t="s">
        <v>10</v>
      </c>
      <c r="E43" s="27" t="s">
        <v>12</v>
      </c>
      <c r="F43" s="29">
        <v>100</v>
      </c>
      <c r="G43" s="30"/>
      <c r="H43" s="32" cm="1">
        <f t="array" ref="H43">SUMPRODUCT(Tracking[Amount], --(Tracking[Date]&lt;=Tracking[[#This Row],[Date]]), (Tracking[Type]&lt;&gt;"Income") * (-1) + (Tracking[Type]="Income"))</f>
        <v>3550</v>
      </c>
      <c r="I43" s="37">
        <f>IF(AND(Tracking[[#This Row],[Type]]="Income", shift_late_income_status="Active", DAY(Tracking[[#This Row],[Date]])&gt;=shift_late_income_starting_day), DATE(YEAR(Tracking[[#This Row],[Date]]), MONTH(Tracking[[#This Row],[Date]])+1, 1), Tracking[[#This Row],[Date]])</f>
        <v>45699</v>
      </c>
    </row>
    <row r="44" spans="3:9" x14ac:dyDescent="0.3">
      <c r="C44" s="28">
        <v>45701</v>
      </c>
      <c r="D44" s="27" t="s">
        <v>10</v>
      </c>
      <c r="E44" s="27" t="s">
        <v>21</v>
      </c>
      <c r="F44" s="29">
        <v>300</v>
      </c>
      <c r="G44" s="30"/>
      <c r="H44" s="32" cm="1">
        <f t="array" ref="H44">SUMPRODUCT(Tracking[Amount], --(Tracking[Date]&lt;=Tracking[[#This Row],[Date]]), (Tracking[Type]&lt;&gt;"Income") * (-1) + (Tracking[Type]="Income"))</f>
        <v>3250</v>
      </c>
      <c r="I44" s="37">
        <f>IF(AND(Tracking[[#This Row],[Type]]="Income", shift_late_income_status="Active", DAY(Tracking[[#This Row],[Date]])&gt;=shift_late_income_starting_day), DATE(YEAR(Tracking[[#This Row],[Date]]), MONTH(Tracking[[#This Row],[Date]])+1, 1), Tracking[[#This Row],[Date]])</f>
        <v>45701</v>
      </c>
    </row>
    <row r="45" spans="3:9" x14ac:dyDescent="0.3">
      <c r="C45" s="28">
        <v>45702</v>
      </c>
      <c r="D45" s="27" t="s">
        <v>10</v>
      </c>
      <c r="E45" s="27" t="s">
        <v>23</v>
      </c>
      <c r="F45" s="29">
        <v>250</v>
      </c>
      <c r="G45" s="30"/>
      <c r="H45" s="32" cm="1">
        <f t="array" ref="H45">SUMPRODUCT(Tracking[Amount], --(Tracking[Date]&lt;=Tracking[[#This Row],[Date]]), (Tracking[Type]&lt;&gt;"Income") * (-1) + (Tracking[Type]="Income"))</f>
        <v>3000</v>
      </c>
      <c r="I45" s="37">
        <f>IF(AND(Tracking[[#This Row],[Type]]="Income", shift_late_income_status="Active", DAY(Tracking[[#This Row],[Date]])&gt;=shift_late_income_starting_day), DATE(YEAR(Tracking[[#This Row],[Date]]), MONTH(Tracking[[#This Row],[Date]])+1, 1), Tracking[[#This Row],[Date]])</f>
        <v>45702</v>
      </c>
    </row>
    <row r="46" spans="3:9" x14ac:dyDescent="0.3">
      <c r="C46" s="28">
        <v>45703</v>
      </c>
      <c r="D46" s="27" t="s">
        <v>10</v>
      </c>
      <c r="E46" s="27" t="s">
        <v>25</v>
      </c>
      <c r="F46" s="29">
        <v>160</v>
      </c>
      <c r="G46" s="30"/>
      <c r="H46" s="32" cm="1">
        <f t="array" ref="H46">SUMPRODUCT(Tracking[Amount], --(Tracking[Date]&lt;=Tracking[[#This Row],[Date]]), (Tracking[Type]&lt;&gt;"Income") * (-1) + (Tracking[Type]="Income"))</f>
        <v>2840</v>
      </c>
      <c r="I46" s="37">
        <f>IF(AND(Tracking[[#This Row],[Type]]="Income", shift_late_income_status="Active", DAY(Tracking[[#This Row],[Date]])&gt;=shift_late_income_starting_day), DATE(YEAR(Tracking[[#This Row],[Date]]), MONTH(Tracking[[#This Row],[Date]])+1, 1), Tracking[[#This Row],[Date]])</f>
        <v>45703</v>
      </c>
    </row>
    <row r="47" spans="3:9" x14ac:dyDescent="0.3">
      <c r="C47" s="28">
        <v>45704</v>
      </c>
      <c r="D47" s="27" t="s">
        <v>10</v>
      </c>
      <c r="E47" s="27" t="s">
        <v>23</v>
      </c>
      <c r="F47" s="29">
        <v>140</v>
      </c>
      <c r="G47" s="30"/>
      <c r="H47" s="32" cm="1">
        <f t="array" ref="H47">SUMPRODUCT(Tracking[Amount], --(Tracking[Date]&lt;=Tracking[[#This Row],[Date]]), (Tracking[Type]&lt;&gt;"Income") * (-1) + (Tracking[Type]="Income"))</f>
        <v>2700</v>
      </c>
      <c r="I47" s="37">
        <f>IF(AND(Tracking[[#This Row],[Type]]="Income", shift_late_income_status="Active", DAY(Tracking[[#This Row],[Date]])&gt;=shift_late_income_starting_day), DATE(YEAR(Tracking[[#This Row],[Date]]), MONTH(Tracking[[#This Row],[Date]])+1, 1), Tracking[[#This Row],[Date]])</f>
        <v>45704</v>
      </c>
    </row>
    <row r="48" spans="3:9" x14ac:dyDescent="0.3">
      <c r="C48" s="28">
        <v>45705</v>
      </c>
      <c r="D48" s="27" t="s">
        <v>10</v>
      </c>
      <c r="E48" s="27" t="s">
        <v>25</v>
      </c>
      <c r="F48" s="29">
        <v>200</v>
      </c>
      <c r="G48" s="30"/>
      <c r="H48" s="32" cm="1">
        <f t="array" ref="H48">SUMPRODUCT(Tracking[Amount], --(Tracking[Date]&lt;=Tracking[[#This Row],[Date]]), (Tracking[Type]&lt;&gt;"Income") * (-1) + (Tracking[Type]="Income"))</f>
        <v>2500</v>
      </c>
      <c r="I48" s="37">
        <f>IF(AND(Tracking[[#This Row],[Type]]="Income", shift_late_income_status="Active", DAY(Tracking[[#This Row],[Date]])&gt;=shift_late_income_starting_day), DATE(YEAR(Tracking[[#This Row],[Date]]), MONTH(Tracking[[#This Row],[Date]])+1, 1), Tracking[[#This Row],[Date]])</f>
        <v>45705</v>
      </c>
    </row>
    <row r="49" spans="3:9" x14ac:dyDescent="0.3">
      <c r="C49" s="28">
        <v>45706</v>
      </c>
      <c r="D49" s="27" t="s">
        <v>10</v>
      </c>
      <c r="E49" s="27" t="s">
        <v>12</v>
      </c>
      <c r="F49" s="29">
        <v>200</v>
      </c>
      <c r="G49" s="30"/>
      <c r="H49" s="32" cm="1">
        <f t="array" ref="H49">SUMPRODUCT(Tracking[Amount], --(Tracking[Date]&lt;=Tracking[[#This Row],[Date]]), (Tracking[Type]&lt;&gt;"Income") * (-1) + (Tracking[Type]="Income"))</f>
        <v>2300</v>
      </c>
      <c r="I49" s="37">
        <f>IF(AND(Tracking[[#This Row],[Type]]="Income", shift_late_income_status="Active", DAY(Tracking[[#This Row],[Date]])&gt;=shift_late_income_starting_day), DATE(YEAR(Tracking[[#This Row],[Date]]), MONTH(Tracking[[#This Row],[Date]])+1, 1), Tracking[[#This Row],[Date]])</f>
        <v>45706</v>
      </c>
    </row>
    <row r="50" spans="3:9" x14ac:dyDescent="0.3">
      <c r="C50" s="28">
        <v>45708</v>
      </c>
      <c r="D50" s="27" t="s">
        <v>10</v>
      </c>
      <c r="E50" s="27" t="s">
        <v>21</v>
      </c>
      <c r="F50" s="29">
        <v>100</v>
      </c>
      <c r="G50" s="30"/>
      <c r="H50" s="32" cm="1">
        <f t="array" ref="H50">SUMPRODUCT(Tracking[Amount], --(Tracking[Date]&lt;=Tracking[[#This Row],[Date]]), (Tracking[Type]&lt;&gt;"Income") * (-1) + (Tracking[Type]="Income"))</f>
        <v>2200</v>
      </c>
      <c r="I50" s="37">
        <f>IF(AND(Tracking[[#This Row],[Type]]="Income", shift_late_income_status="Active", DAY(Tracking[[#This Row],[Date]])&gt;=shift_late_income_starting_day), DATE(YEAR(Tracking[[#This Row],[Date]]), MONTH(Tracking[[#This Row],[Date]])+1, 1), Tracking[[#This Row],[Date]])</f>
        <v>45708</v>
      </c>
    </row>
    <row r="51" spans="3:9" x14ac:dyDescent="0.3">
      <c r="C51" s="28">
        <v>45710</v>
      </c>
      <c r="D51" s="27" t="s">
        <v>10</v>
      </c>
      <c r="E51" s="27" t="s">
        <v>12</v>
      </c>
      <c r="F51" s="29">
        <v>80</v>
      </c>
      <c r="G51" s="30"/>
      <c r="H51" s="32" cm="1">
        <f t="array" ref="H51">SUMPRODUCT(Tracking[Amount], --(Tracking[Date]&lt;=Tracking[[#This Row],[Date]]), (Tracking[Type]&lt;&gt;"Income") * (-1) + (Tracking[Type]="Income"))</f>
        <v>2120</v>
      </c>
      <c r="I51" s="37">
        <f>IF(AND(Tracking[[#This Row],[Type]]="Income", shift_late_income_status="Active", DAY(Tracking[[#This Row],[Date]])&gt;=shift_late_income_starting_day), DATE(YEAR(Tracking[[#This Row],[Date]]), MONTH(Tracking[[#This Row],[Date]])+1, 1), Tracking[[#This Row],[Date]])</f>
        <v>45710</v>
      </c>
    </row>
    <row r="52" spans="3:9" x14ac:dyDescent="0.3">
      <c r="C52" s="28">
        <v>45712</v>
      </c>
      <c r="D52" s="27" t="s">
        <v>15</v>
      </c>
      <c r="E52" s="27" t="s">
        <v>18</v>
      </c>
      <c r="F52" s="29">
        <v>20</v>
      </c>
      <c r="G52" s="30"/>
      <c r="H52" s="32" cm="1">
        <f t="array" ref="H52">SUMPRODUCT(Tracking[Amount], --(Tracking[Date]&lt;=Tracking[[#This Row],[Date]]), (Tracking[Type]&lt;&gt;"Income") * (-1) + (Tracking[Type]="Income"))</f>
        <v>2100</v>
      </c>
      <c r="I52" s="37">
        <f>IF(AND(Tracking[[#This Row],[Type]]="Income", shift_late_income_status="Active", DAY(Tracking[[#This Row],[Date]])&gt;=shift_late_income_starting_day), DATE(YEAR(Tracking[[#This Row],[Date]]), MONTH(Tracking[[#This Row],[Date]])+1, 1), Tracking[[#This Row],[Date]])</f>
        <v>45712</v>
      </c>
    </row>
    <row r="53" spans="3:9" x14ac:dyDescent="0.3">
      <c r="C53" s="28">
        <v>45713</v>
      </c>
      <c r="D53" s="27" t="s">
        <v>4</v>
      </c>
      <c r="E53" s="27" t="s">
        <v>7</v>
      </c>
      <c r="F53" s="29">
        <v>3500</v>
      </c>
      <c r="G53" s="30"/>
      <c r="H53" s="32" cm="1">
        <f t="array" ref="H53">SUMPRODUCT(Tracking[Amount], --(Tracking[Date]&lt;=Tracking[[#This Row],[Date]]), (Tracking[Type]&lt;&gt;"Income") * (-1) + (Tracking[Type]="Income"))</f>
        <v>5500</v>
      </c>
      <c r="I53" s="37">
        <f>IF(AND(Tracking[[#This Row],[Type]]="Income", shift_late_income_status="Active", DAY(Tracking[[#This Row],[Date]])&gt;=shift_late_income_starting_day), DATE(YEAR(Tracking[[#This Row],[Date]]), MONTH(Tracking[[#This Row],[Date]])+1, 1), Tracking[[#This Row],[Date]])</f>
        <v>45717</v>
      </c>
    </row>
    <row r="54" spans="3:9" x14ac:dyDescent="0.3">
      <c r="C54" s="28">
        <v>45713</v>
      </c>
      <c r="D54" s="27" t="s">
        <v>10</v>
      </c>
      <c r="E54" s="27" t="s">
        <v>21</v>
      </c>
      <c r="F54" s="29">
        <v>100</v>
      </c>
      <c r="G54" s="30"/>
      <c r="H54" s="32" cm="1">
        <f t="array" ref="H54">SUMPRODUCT(Tracking[Amount], --(Tracking[Date]&lt;=Tracking[[#This Row],[Date]]), (Tracking[Type]&lt;&gt;"Income") * (-1) + (Tracking[Type]="Income"))</f>
        <v>5500</v>
      </c>
      <c r="I54" s="37">
        <f>IF(AND(Tracking[[#This Row],[Type]]="Income", shift_late_income_status="Active", DAY(Tracking[[#This Row],[Date]])&gt;=shift_late_income_starting_day), DATE(YEAR(Tracking[[#This Row],[Date]]), MONTH(Tracking[[#This Row],[Date]])+1, 1), Tracking[[#This Row],[Date]])</f>
        <v>45713</v>
      </c>
    </row>
    <row r="55" spans="3:9" x14ac:dyDescent="0.3">
      <c r="C55" s="28">
        <v>45714</v>
      </c>
      <c r="D55" s="27" t="s">
        <v>10</v>
      </c>
      <c r="E55" s="27" t="s">
        <v>21</v>
      </c>
      <c r="F55" s="29">
        <v>200</v>
      </c>
      <c r="G55" s="30"/>
      <c r="H55" s="32" cm="1">
        <f t="array" ref="H55">SUMPRODUCT(Tracking[Amount], --(Tracking[Date]&lt;=Tracking[[#This Row],[Date]]), (Tracking[Type]&lt;&gt;"Income") * (-1) + (Tracking[Type]="Income"))</f>
        <v>5300</v>
      </c>
      <c r="I55" s="37">
        <f>IF(AND(Tracking[[#This Row],[Type]]="Income", shift_late_income_status="Active", DAY(Tracking[[#This Row],[Date]])&gt;=shift_late_income_starting_day), DATE(YEAR(Tracking[[#This Row],[Date]]), MONTH(Tracking[[#This Row],[Date]])+1, 1), Tracking[[#This Row],[Date]])</f>
        <v>45714</v>
      </c>
    </row>
    <row r="56" spans="3:9" x14ac:dyDescent="0.3">
      <c r="C56" s="28">
        <v>45715</v>
      </c>
      <c r="D56" s="27" t="s">
        <v>10</v>
      </c>
      <c r="E56" s="27" t="s">
        <v>21</v>
      </c>
      <c r="F56" s="29">
        <v>100</v>
      </c>
      <c r="G56" s="30"/>
      <c r="H56" s="32" cm="1">
        <f t="array" ref="H56">SUMPRODUCT(Tracking[Amount], --(Tracking[Date]&lt;=Tracking[[#This Row],[Date]]), (Tracking[Type]&lt;&gt;"Income") * (-1) + (Tracking[Type]="Income"))</f>
        <v>5200</v>
      </c>
      <c r="I56" s="37">
        <f>IF(AND(Tracking[[#This Row],[Type]]="Income", shift_late_income_status="Active", DAY(Tracking[[#This Row],[Date]])&gt;=shift_late_income_starting_day), DATE(YEAR(Tracking[[#This Row],[Date]]), MONTH(Tracking[[#This Row],[Date]])+1, 1), Tracking[[#This Row],[Date]])</f>
        <v>45715</v>
      </c>
    </row>
    <row r="57" spans="3:9" x14ac:dyDescent="0.3">
      <c r="C57" s="28">
        <v>45716</v>
      </c>
      <c r="D57" s="27" t="s">
        <v>10</v>
      </c>
      <c r="E57" s="27" t="s">
        <v>22</v>
      </c>
      <c r="F57" s="29">
        <v>300</v>
      </c>
      <c r="G57" s="30"/>
      <c r="H57" s="32" cm="1">
        <f t="array" ref="H57">SUMPRODUCT(Tracking[Amount], --(Tracking[Date]&lt;=Tracking[[#This Row],[Date]]), (Tracking[Type]&lt;&gt;"Income") * (-1) + (Tracking[Type]="Income"))</f>
        <v>4800</v>
      </c>
      <c r="I57" s="37">
        <f>IF(AND(Tracking[[#This Row],[Type]]="Income", shift_late_income_status="Active", DAY(Tracking[[#This Row],[Date]])&gt;=shift_late_income_starting_day), DATE(YEAR(Tracking[[#This Row],[Date]]), MONTH(Tracking[[#This Row],[Date]])+1, 1), Tracking[[#This Row],[Date]])</f>
        <v>45716</v>
      </c>
    </row>
    <row r="58" spans="3:9" x14ac:dyDescent="0.3">
      <c r="C58" s="28">
        <v>45716</v>
      </c>
      <c r="D58" s="27" t="s">
        <v>10</v>
      </c>
      <c r="E58" s="27" t="s">
        <v>24</v>
      </c>
      <c r="F58" s="29">
        <v>100</v>
      </c>
      <c r="G58" s="30"/>
      <c r="H58" s="32" cm="1">
        <f t="array" ref="H58">SUMPRODUCT(Tracking[Amount], --(Tracking[Date]&lt;=Tracking[[#This Row],[Date]]), (Tracking[Type]&lt;&gt;"Income") * (-1) + (Tracking[Type]="Income"))</f>
        <v>4800</v>
      </c>
      <c r="I58" s="37">
        <f>IF(AND(Tracking[[#This Row],[Type]]="Income", shift_late_income_status="Active", DAY(Tracking[[#This Row],[Date]])&gt;=shift_late_income_starting_day), DATE(YEAR(Tracking[[#This Row],[Date]]), MONTH(Tracking[[#This Row],[Date]])+1, 1), Tracking[[#This Row],[Date]])</f>
        <v>45716</v>
      </c>
    </row>
    <row r="59" spans="3:9" x14ac:dyDescent="0.3">
      <c r="C59" s="28">
        <v>45717</v>
      </c>
      <c r="D59" s="27" t="s">
        <v>10</v>
      </c>
      <c r="E59" s="27" t="s">
        <v>26</v>
      </c>
      <c r="F59" s="29">
        <v>200</v>
      </c>
      <c r="G59" s="30"/>
      <c r="H59" s="32" cm="1">
        <f t="array" ref="H59">SUMPRODUCT(Tracking[Amount], --(Tracking[Date]&lt;=Tracking[[#This Row],[Date]]), (Tracking[Type]&lt;&gt;"Income") * (-1) + (Tracking[Type]="Income"))</f>
        <v>4600</v>
      </c>
      <c r="I59" s="37">
        <f>IF(AND(Tracking[[#This Row],[Type]]="Income", shift_late_income_status="Active", DAY(Tracking[[#This Row],[Date]])&gt;=shift_late_income_starting_day), DATE(YEAR(Tracking[[#This Row],[Date]]), MONTH(Tracking[[#This Row],[Date]])+1, 1), Tracking[[#This Row],[Date]])</f>
        <v>45717</v>
      </c>
    </row>
    <row r="60" spans="3:9" x14ac:dyDescent="0.3">
      <c r="C60" s="28">
        <v>45718</v>
      </c>
      <c r="D60" s="27" t="s">
        <v>10</v>
      </c>
      <c r="E60" s="27" t="s">
        <v>21</v>
      </c>
      <c r="F60" s="29">
        <v>100</v>
      </c>
      <c r="G60" s="30"/>
      <c r="H60" s="32" cm="1">
        <f t="array" ref="H60">SUMPRODUCT(Tracking[Amount], --(Tracking[Date]&lt;=Tracking[[#This Row],[Date]]), (Tracking[Type]&lt;&gt;"Income") * (-1) + (Tracking[Type]="Income"))</f>
        <v>4500</v>
      </c>
      <c r="I60" s="37">
        <f>IF(AND(Tracking[[#This Row],[Type]]="Income", shift_late_income_status="Active", DAY(Tracking[[#This Row],[Date]])&gt;=shift_late_income_starting_day), DATE(YEAR(Tracking[[#This Row],[Date]]), MONTH(Tracking[[#This Row],[Date]])+1, 1), Tracking[[#This Row],[Date]])</f>
        <v>45718</v>
      </c>
    </row>
    <row r="61" spans="3:9" x14ac:dyDescent="0.3">
      <c r="C61" s="28">
        <v>45719</v>
      </c>
      <c r="D61" s="27" t="s">
        <v>10</v>
      </c>
      <c r="E61" s="27" t="s">
        <v>13</v>
      </c>
      <c r="F61" s="29">
        <v>150</v>
      </c>
      <c r="G61" s="30"/>
      <c r="H61" s="32" cm="1">
        <f t="array" ref="H61">SUMPRODUCT(Tracking[Amount], --(Tracking[Date]&lt;=Tracking[[#This Row],[Date]]), (Tracking[Type]&lt;&gt;"Income") * (-1) + (Tracking[Type]="Income"))</f>
        <v>4350</v>
      </c>
      <c r="I61" s="37">
        <f>IF(AND(Tracking[[#This Row],[Type]]="Income", shift_late_income_status="Active", DAY(Tracking[[#This Row],[Date]])&gt;=shift_late_income_starting_day), DATE(YEAR(Tracking[[#This Row],[Date]]), MONTH(Tracking[[#This Row],[Date]])+1, 1), Tracking[[#This Row],[Date]])</f>
        <v>45719</v>
      </c>
    </row>
    <row r="62" spans="3:9" x14ac:dyDescent="0.3">
      <c r="C62" s="28">
        <v>45720</v>
      </c>
      <c r="D62" s="27" t="s">
        <v>10</v>
      </c>
      <c r="E62" s="27" t="s">
        <v>21</v>
      </c>
      <c r="F62" s="29">
        <v>130</v>
      </c>
      <c r="G62" s="30"/>
      <c r="H62" s="32" cm="1">
        <f t="array" ref="H62">SUMPRODUCT(Tracking[Amount], --(Tracking[Date]&lt;=Tracking[[#This Row],[Date]]), (Tracking[Type]&lt;&gt;"Income") * (-1) + (Tracking[Type]="Income"))</f>
        <v>4220</v>
      </c>
      <c r="I62" s="37">
        <f>IF(AND(Tracking[[#This Row],[Type]]="Income", shift_late_income_status="Active", DAY(Tracking[[#This Row],[Date]])&gt;=shift_late_income_starting_day), DATE(YEAR(Tracking[[#This Row],[Date]]), MONTH(Tracking[[#This Row],[Date]])+1, 1), Tracking[[#This Row],[Date]])</f>
        <v>45720</v>
      </c>
    </row>
    <row r="63" spans="3:9" x14ac:dyDescent="0.3">
      <c r="C63" s="28">
        <v>45721</v>
      </c>
      <c r="D63" s="27" t="s">
        <v>4</v>
      </c>
      <c r="E63" s="27" t="s">
        <v>8</v>
      </c>
      <c r="F63" s="29">
        <v>1000</v>
      </c>
      <c r="G63" s="30"/>
      <c r="H63" s="32" cm="1">
        <f t="array" ref="H63">SUMPRODUCT(Tracking[Amount], --(Tracking[Date]&lt;=Tracking[[#This Row],[Date]]), (Tracking[Type]&lt;&gt;"Income") * (-1) + (Tracking[Type]="Income"))</f>
        <v>5220</v>
      </c>
      <c r="I63" s="37">
        <f>IF(AND(Tracking[[#This Row],[Type]]="Income", shift_late_income_status="Active", DAY(Tracking[[#This Row],[Date]])&gt;=shift_late_income_starting_day), DATE(YEAR(Tracking[[#This Row],[Date]]), MONTH(Tracking[[#This Row],[Date]])+1, 1), Tracking[[#This Row],[Date]])</f>
        <v>45721</v>
      </c>
    </row>
    <row r="64" spans="3:9" x14ac:dyDescent="0.3">
      <c r="C64" s="28">
        <v>45722</v>
      </c>
      <c r="D64" s="27" t="s">
        <v>10</v>
      </c>
      <c r="E64" s="27" t="s">
        <v>21</v>
      </c>
      <c r="F64" s="29">
        <v>40</v>
      </c>
      <c r="G64" s="30"/>
      <c r="H64" s="32" cm="1">
        <f t="array" ref="H64">SUMPRODUCT(Tracking[Amount], --(Tracking[Date]&lt;=Tracking[[#This Row],[Date]]), (Tracking[Type]&lt;&gt;"Income") * (-1) + (Tracking[Type]="Income"))</f>
        <v>5180</v>
      </c>
      <c r="I64" s="37">
        <f>IF(AND(Tracking[[#This Row],[Type]]="Income", shift_late_income_status="Active", DAY(Tracking[[#This Row],[Date]])&gt;=shift_late_income_starting_day), DATE(YEAR(Tracking[[#This Row],[Date]]), MONTH(Tracking[[#This Row],[Date]])+1, 1), Tracking[[#This Row],[Date]])</f>
        <v>45722</v>
      </c>
    </row>
    <row r="65" spans="3:9" x14ac:dyDescent="0.3">
      <c r="C65" s="28">
        <v>45723</v>
      </c>
      <c r="D65" s="27" t="s">
        <v>10</v>
      </c>
      <c r="E65" s="27" t="s">
        <v>23</v>
      </c>
      <c r="F65" s="29">
        <v>60</v>
      </c>
      <c r="G65" s="30"/>
      <c r="H65" s="32" cm="1">
        <f t="array" ref="H65">SUMPRODUCT(Tracking[Amount], --(Tracking[Date]&lt;=Tracking[[#This Row],[Date]]), (Tracking[Type]&lt;&gt;"Income") * (-1) + (Tracking[Type]="Income"))</f>
        <v>5120</v>
      </c>
      <c r="I65" s="37">
        <f>IF(AND(Tracking[[#This Row],[Type]]="Income", shift_late_income_status="Active", DAY(Tracking[[#This Row],[Date]])&gt;=shift_late_income_starting_day), DATE(YEAR(Tracking[[#This Row],[Date]]), MONTH(Tracking[[#This Row],[Date]])+1, 1), Tracking[[#This Row],[Date]])</f>
        <v>45723</v>
      </c>
    </row>
    <row r="66" spans="3:9" x14ac:dyDescent="0.3">
      <c r="C66" s="28">
        <v>45724</v>
      </c>
      <c r="D66" s="27" t="s">
        <v>10</v>
      </c>
      <c r="E66" s="27" t="s">
        <v>24</v>
      </c>
      <c r="F66" s="29">
        <v>80</v>
      </c>
      <c r="G66" s="30"/>
      <c r="H66" s="32" cm="1">
        <f t="array" ref="H66">SUMPRODUCT(Tracking[Amount], --(Tracking[Date]&lt;=Tracking[[#This Row],[Date]]), (Tracking[Type]&lt;&gt;"Income") * (-1) + (Tracking[Type]="Income"))</f>
        <v>5040</v>
      </c>
      <c r="I66" s="37">
        <f>IF(AND(Tracking[[#This Row],[Type]]="Income", shift_late_income_status="Active", DAY(Tracking[[#This Row],[Date]])&gt;=shift_late_income_starting_day), DATE(YEAR(Tracking[[#This Row],[Date]]), MONTH(Tracking[[#This Row],[Date]])+1, 1), Tracking[[#This Row],[Date]])</f>
        <v>45724</v>
      </c>
    </row>
    <row r="67" spans="3:9" x14ac:dyDescent="0.3">
      <c r="C67" s="28">
        <v>45725</v>
      </c>
      <c r="D67" s="27" t="s">
        <v>15</v>
      </c>
      <c r="E67" s="27" t="s">
        <v>18</v>
      </c>
      <c r="F67" s="29">
        <v>4000</v>
      </c>
      <c r="G67" s="30"/>
      <c r="H67" s="32" cm="1">
        <f t="array" ref="H67">SUMPRODUCT(Tracking[Amount], --(Tracking[Date]&lt;=Tracking[[#This Row],[Date]]), (Tracking[Type]&lt;&gt;"Income") * (-1) + (Tracking[Type]="Income"))</f>
        <v>1040</v>
      </c>
      <c r="I67" s="37">
        <f>IF(AND(Tracking[[#This Row],[Type]]="Income", shift_late_income_status="Active", DAY(Tracking[[#This Row],[Date]])&gt;=shift_late_income_starting_day), DATE(YEAR(Tracking[[#This Row],[Date]]), MONTH(Tracking[[#This Row],[Date]])+1, 1), Tracking[[#This Row],[Date]])</f>
        <v>45725</v>
      </c>
    </row>
    <row r="68" spans="3:9" x14ac:dyDescent="0.3">
      <c r="C68" s="28">
        <v>45726</v>
      </c>
      <c r="D68" s="27" t="s">
        <v>10</v>
      </c>
      <c r="E68" s="27" t="s">
        <v>12</v>
      </c>
      <c r="F68" s="29">
        <v>20</v>
      </c>
      <c r="G68" s="30"/>
      <c r="H68" s="32" cm="1">
        <f t="array" ref="H68">SUMPRODUCT(Tracking[Amount], --(Tracking[Date]&lt;=Tracking[[#This Row],[Date]]), (Tracking[Type]&lt;&gt;"Income") * (-1) + (Tracking[Type]="Income"))</f>
        <v>1020</v>
      </c>
      <c r="I68" s="37">
        <f>IF(AND(Tracking[[#This Row],[Type]]="Income", shift_late_income_status="Active", DAY(Tracking[[#This Row],[Date]])&gt;=shift_late_income_starting_day), DATE(YEAR(Tracking[[#This Row],[Date]]), MONTH(Tracking[[#This Row],[Date]])+1, 1), Tracking[[#This Row],[Date]])</f>
        <v>45726</v>
      </c>
    </row>
    <row r="69" spans="3:9" x14ac:dyDescent="0.3">
      <c r="C69" s="28">
        <v>45727</v>
      </c>
      <c r="D69" s="27" t="s">
        <v>10</v>
      </c>
      <c r="E69" s="27" t="s">
        <v>22</v>
      </c>
      <c r="F69" s="29">
        <v>100</v>
      </c>
      <c r="G69" s="30"/>
      <c r="H69" s="32" cm="1">
        <f t="array" ref="H69">SUMPRODUCT(Tracking[Amount], --(Tracking[Date]&lt;=Tracking[[#This Row],[Date]]), (Tracking[Type]&lt;&gt;"Income") * (-1) + (Tracking[Type]="Income"))</f>
        <v>920</v>
      </c>
      <c r="I69" s="37">
        <f>IF(AND(Tracking[[#This Row],[Type]]="Income", shift_late_income_status="Active", DAY(Tracking[[#This Row],[Date]])&gt;=shift_late_income_starting_day), DATE(YEAR(Tracking[[#This Row],[Date]]), MONTH(Tracking[[#This Row],[Date]])+1, 1), Tracking[[#This Row],[Date]])</f>
        <v>45727</v>
      </c>
    </row>
    <row r="70" spans="3:9" x14ac:dyDescent="0.3">
      <c r="C70" s="28">
        <v>45728</v>
      </c>
      <c r="D70" s="27" t="s">
        <v>10</v>
      </c>
      <c r="E70" s="27" t="s">
        <v>11</v>
      </c>
      <c r="F70" s="29">
        <v>300</v>
      </c>
      <c r="G70" s="30"/>
      <c r="H70" s="32" cm="1">
        <f t="array" ref="H70">SUMPRODUCT(Tracking[Amount], --(Tracking[Date]&lt;=Tracking[[#This Row],[Date]]), (Tracking[Type]&lt;&gt;"Income") * (-1) + (Tracking[Type]="Income"))</f>
        <v>620</v>
      </c>
      <c r="I70" s="37">
        <f>IF(AND(Tracking[[#This Row],[Type]]="Income", shift_late_income_status="Active", DAY(Tracking[[#This Row],[Date]])&gt;=shift_late_income_starting_day), DATE(YEAR(Tracking[[#This Row],[Date]]), MONTH(Tracking[[#This Row],[Date]])+1, 1), Tracking[[#This Row],[Date]])</f>
        <v>45728</v>
      </c>
    </row>
    <row r="71" spans="3:9" x14ac:dyDescent="0.3">
      <c r="C71" s="28">
        <v>45729</v>
      </c>
      <c r="D71" s="27" t="s">
        <v>10</v>
      </c>
      <c r="E71" s="27" t="s">
        <v>21</v>
      </c>
      <c r="F71" s="29">
        <v>200</v>
      </c>
      <c r="G71" s="30"/>
      <c r="H71" s="32" cm="1">
        <f t="array" ref="H71">SUMPRODUCT(Tracking[Amount], --(Tracking[Date]&lt;=Tracking[[#This Row],[Date]]), (Tracking[Type]&lt;&gt;"Income") * (-1) + (Tracking[Type]="Income"))</f>
        <v>420</v>
      </c>
      <c r="I71" s="37">
        <f>IF(AND(Tracking[[#This Row],[Type]]="Income", shift_late_income_status="Active", DAY(Tracking[[#This Row],[Date]])&gt;=shift_late_income_starting_day), DATE(YEAR(Tracking[[#This Row],[Date]]), MONTH(Tracking[[#This Row],[Date]])+1, 1), Tracking[[#This Row],[Date]])</f>
        <v>45729</v>
      </c>
    </row>
    <row r="72" spans="3:9" x14ac:dyDescent="0.3">
      <c r="C72" s="28">
        <v>45730</v>
      </c>
      <c r="D72" s="27" t="s">
        <v>10</v>
      </c>
      <c r="E72" s="27" t="s">
        <v>25</v>
      </c>
      <c r="F72" s="29">
        <v>100</v>
      </c>
      <c r="G72" s="30"/>
      <c r="H72" s="32" cm="1">
        <f t="array" ref="H72">SUMPRODUCT(Tracking[Amount], --(Tracking[Date]&lt;=Tracking[[#This Row],[Date]]), (Tracking[Type]&lt;&gt;"Income") * (-1) + (Tracking[Type]="Income"))</f>
        <v>320</v>
      </c>
      <c r="I72" s="37">
        <f>IF(AND(Tracking[[#This Row],[Type]]="Income", shift_late_income_status="Active", DAY(Tracking[[#This Row],[Date]])&gt;=shift_late_income_starting_day), DATE(YEAR(Tracking[[#This Row],[Date]]), MONTH(Tracking[[#This Row],[Date]])+1, 1), Tracking[[#This Row],[Date]])</f>
        <v>45730</v>
      </c>
    </row>
    <row r="73" spans="3:9" x14ac:dyDescent="0.3">
      <c r="C73" s="28">
        <v>45731</v>
      </c>
      <c r="D73" s="27" t="s">
        <v>4</v>
      </c>
      <c r="E73" s="27" t="s">
        <v>7</v>
      </c>
      <c r="F73" s="29">
        <v>1100</v>
      </c>
      <c r="G73" s="30"/>
      <c r="H73" s="32" cm="1">
        <f t="array" ref="H73">SUMPRODUCT(Tracking[Amount], --(Tracking[Date]&lt;=Tracking[[#This Row],[Date]]), (Tracking[Type]&lt;&gt;"Income") * (-1) + (Tracking[Type]="Income"))</f>
        <v>1420</v>
      </c>
      <c r="I73" s="37">
        <f>IF(AND(Tracking[[#This Row],[Type]]="Income", shift_late_income_status="Active", DAY(Tracking[[#This Row],[Date]])&gt;=shift_late_income_starting_day), DATE(YEAR(Tracking[[#This Row],[Date]]), MONTH(Tracking[[#This Row],[Date]])+1, 1), Tracking[[#This Row],[Date]])</f>
        <v>45731</v>
      </c>
    </row>
  </sheetData>
  <conditionalFormatting sqref="E12:E73">
    <cfRule type="expression" dxfId="9" priority="3">
      <formula>ISNA(MATCH(E12, INDIRECT(D12), 0))</formula>
    </cfRule>
  </conditionalFormatting>
  <conditionalFormatting sqref="F12:F73">
    <cfRule type="expression" dxfId="8" priority="2">
      <formula>D12="Income"</formula>
    </cfRule>
  </conditionalFormatting>
  <conditionalFormatting sqref="I12:I73">
    <cfRule type="expression" dxfId="7" priority="1">
      <formula>AND(D12="Income", shift_late_income_status="Active", DAY(C12)&gt;=shift_late_income_starting_day)</formula>
    </cfRule>
  </conditionalFormatting>
  <dataValidations count="4">
    <dataValidation type="date" operator="greaterThan" allowBlank="1" showInputMessage="1" showErrorMessage="1" sqref="C12:C73" xr:uid="{39855363-9970-4D90-A6B7-DEB864A1E9E9}">
      <formula1>1</formula1>
    </dataValidation>
    <dataValidation type="list" allowBlank="1" showInputMessage="1" showErrorMessage="1" errorTitle="Invalid Type" error="Please select a valid type from the dropdown list." sqref="D12:D73" xr:uid="{88F57C95-9156-4825-AE88-B380873FD08E}">
      <formula1>"Income, Expenses, Savings"</formula1>
    </dataValidation>
    <dataValidation type="list" allowBlank="1" showInputMessage="1" showErrorMessage="1" errorTitle="Invalid Category" error="Please select a valid category from the dropdown list." sqref="E12:E73" xr:uid="{6BFBC150-15BE-47D2-B731-746497F0E9D8}">
      <formula1>INDIRECT(D12)</formula1>
    </dataValidation>
    <dataValidation type="custom" allowBlank="1" showInputMessage="1" showErrorMessage="1" errorTitle="Invalid Amount" error="Please enter a valid number." sqref="F12:F73" xr:uid="{EEAAB9A8-35D5-4E0E-ADBC-C164A3590266}">
      <formula1>ISNUMBER(F12)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E0FC-2948-47CB-9CD6-9AEAB10CDF45}">
  <dimension ref="C1:AR50"/>
  <sheetViews>
    <sheetView showGridLines="0" tabSelected="1" zoomScale="55" zoomScaleNormal="55" workbookViewId="0">
      <selection activeCell="B1" sqref="B1:Y1048576"/>
    </sheetView>
  </sheetViews>
  <sheetFormatPr defaultRowHeight="14.4" x14ac:dyDescent="0.3"/>
  <cols>
    <col min="2" max="2" width="5" customWidth="1"/>
    <col min="3" max="3" width="8.88671875" hidden="1" customWidth="1"/>
    <col min="4" max="4" width="13.88671875" hidden="1" customWidth="1"/>
    <col min="5" max="9" width="8.88671875" hidden="1" customWidth="1"/>
    <col min="10" max="10" width="27.44140625" hidden="1" customWidth="1"/>
    <col min="11" max="12" width="8.88671875" hidden="1" customWidth="1"/>
    <col min="13" max="14" width="11.33203125" hidden="1" customWidth="1"/>
    <col min="15" max="15" width="11.77734375" hidden="1" customWidth="1"/>
    <col min="16" max="16" width="8.88671875" hidden="1" customWidth="1"/>
    <col min="17" max="17" width="10.88671875" hidden="1" customWidth="1"/>
    <col min="18" max="18" width="8.88671875" hidden="1" customWidth="1"/>
    <col min="19" max="21" width="13.109375" hidden="1" customWidth="1"/>
    <col min="22" max="22" width="19" hidden="1" customWidth="1"/>
    <col min="23" max="23" width="13" hidden="1" customWidth="1"/>
    <col min="24" max="24" width="18.109375" hidden="1" customWidth="1"/>
    <col min="25" max="25" width="26.109375" customWidth="1"/>
    <col min="26" max="27" width="12.77734375" customWidth="1"/>
    <col min="28" max="28" width="8.44140625" customWidth="1"/>
    <col min="29" max="30" width="12.77734375" customWidth="1"/>
    <col min="31" max="31" width="5.21875" customWidth="1"/>
    <col min="32" max="33" width="16.88671875" customWidth="1"/>
    <col min="34" max="34" width="2" customWidth="1"/>
    <col min="35" max="35" width="15.5546875" customWidth="1"/>
    <col min="36" max="36" width="9.33203125" customWidth="1"/>
    <col min="37" max="37" width="4" customWidth="1"/>
    <col min="38" max="38" width="2.44140625" customWidth="1"/>
    <col min="39" max="40" width="16.88671875" customWidth="1"/>
    <col min="41" max="41" width="2" customWidth="1"/>
    <col min="42" max="42" width="15.5546875" customWidth="1"/>
    <col min="43" max="43" width="9.33203125" customWidth="1"/>
    <col min="44" max="44" width="4" customWidth="1"/>
  </cols>
  <sheetData>
    <row r="1" spans="3:44" x14ac:dyDescent="0.3">
      <c r="X1" s="41" t="s">
        <v>50</v>
      </c>
    </row>
    <row r="3" spans="3:44" x14ac:dyDescent="0.3">
      <c r="AI3" t="s">
        <v>103</v>
      </c>
    </row>
    <row r="5" spans="3:44" x14ac:dyDescent="0.3">
      <c r="AQ5" s="84" t="s">
        <v>51</v>
      </c>
      <c r="AR5" s="85"/>
    </row>
    <row r="6" spans="3:44" x14ac:dyDescent="0.3">
      <c r="AN6" s="87" t="s">
        <v>52</v>
      </c>
      <c r="AO6" s="87"/>
      <c r="AP6" s="87"/>
      <c r="AQ6" s="86" t="s">
        <v>56</v>
      </c>
      <c r="AR6" s="86"/>
    </row>
    <row r="8" spans="3:44" x14ac:dyDescent="0.3">
      <c r="AQ8" s="84" t="s">
        <v>53</v>
      </c>
      <c r="AR8" s="85"/>
    </row>
    <row r="9" spans="3:44" x14ac:dyDescent="0.3">
      <c r="AN9" s="87" t="s">
        <v>54</v>
      </c>
      <c r="AO9" s="87"/>
      <c r="AP9" s="87"/>
      <c r="AQ9" s="88">
        <v>36586</v>
      </c>
      <c r="AR9" s="88"/>
    </row>
    <row r="11" spans="3:44" x14ac:dyDescent="0.3">
      <c r="C11" s="40"/>
      <c r="D11" s="40"/>
      <c r="E11" s="40"/>
      <c r="F11" s="40"/>
      <c r="G11" s="40"/>
      <c r="H11" s="40"/>
      <c r="I11" s="40"/>
      <c r="J11" s="40"/>
      <c r="K11" s="40"/>
      <c r="L11" s="40"/>
      <c r="M11" s="40"/>
      <c r="N11" s="40"/>
      <c r="O11" s="40"/>
      <c r="P11" s="40"/>
      <c r="Q11" s="40"/>
      <c r="R11" s="40"/>
      <c r="S11" s="40"/>
      <c r="T11" s="40"/>
      <c r="U11" s="40"/>
      <c r="V11" s="40"/>
      <c r="W11" s="40"/>
      <c r="X11" s="40"/>
      <c r="Y11" s="83" t="str">
        <f>"Breakdown - " &amp; IF(Selected_Period="Total Year", Selected_Year &amp; " (Total Year)", Selected_Period_Display &amp; " " &amp; Selected_Year)</f>
        <v>Breakdown - March 2025</v>
      </c>
      <c r="Z11" s="83"/>
      <c r="AA11" s="83"/>
      <c r="AB11" s="83"/>
      <c r="AC11" s="83"/>
      <c r="AD11" s="83"/>
      <c r="AF11" s="83" t="str">
        <f>"Summary - " &amp; IF(Selected_Period="Total Year", Selected_Year &amp; " (Total Year)", Selected_Period_Display &amp; " " &amp; Selected_Year)</f>
        <v>Summary - March 2025</v>
      </c>
      <c r="AG11" s="83"/>
      <c r="AH11" s="83"/>
      <c r="AI11" s="83"/>
      <c r="AJ11" s="83"/>
      <c r="AK11" s="83"/>
      <c r="AL11" s="83"/>
      <c r="AM11" s="83"/>
      <c r="AN11" s="83"/>
      <c r="AO11" s="83"/>
      <c r="AP11" s="83"/>
      <c r="AQ11" s="83"/>
      <c r="AR11" s="83"/>
    </row>
    <row r="12" spans="3:44" x14ac:dyDescent="0.3">
      <c r="C12" s="52" t="s">
        <v>64</v>
      </c>
      <c r="D12" s="53" t="s">
        <v>65</v>
      </c>
      <c r="E12" s="52" t="s">
        <v>66</v>
      </c>
      <c r="F12" s="51" t="s">
        <v>67</v>
      </c>
      <c r="G12" s="51" t="s">
        <v>68</v>
      </c>
      <c r="H12" s="53" t="s">
        <v>69</v>
      </c>
      <c r="I12" s="52" t="s">
        <v>70</v>
      </c>
      <c r="J12" s="51" t="s">
        <v>71</v>
      </c>
      <c r="K12" s="51" t="s">
        <v>72</v>
      </c>
      <c r="L12" s="53" t="s">
        <v>73</v>
      </c>
      <c r="M12" s="52" t="s">
        <v>74</v>
      </c>
      <c r="N12" s="53" t="s">
        <v>75</v>
      </c>
      <c r="O12" s="52" t="s">
        <v>76</v>
      </c>
      <c r="P12" s="51" t="s">
        <v>77</v>
      </c>
      <c r="Q12" s="51" t="s">
        <v>78</v>
      </c>
      <c r="R12" s="53" t="s">
        <v>79</v>
      </c>
      <c r="S12" s="52" t="s">
        <v>80</v>
      </c>
      <c r="T12" s="51" t="s">
        <v>81</v>
      </c>
      <c r="U12" s="51" t="s">
        <v>82</v>
      </c>
      <c r="V12" s="51" t="s">
        <v>83</v>
      </c>
      <c r="W12" s="53" t="s">
        <v>84</v>
      </c>
      <c r="X12" s="59" t="s">
        <v>85</v>
      </c>
    </row>
    <row r="13" spans="3:44" x14ac:dyDescent="0.3">
      <c r="C13" s="54" cm="1">
        <f t="array" ref="C13">income_header_row</f>
        <v>9</v>
      </c>
      <c r="D13" s="55">
        <f t="shared" ref="D13:D50" si="0">IF(is_header, row_id, IF(NOT(is_empty), D12, -1))</f>
        <v>9</v>
      </c>
      <c r="E13" s="54" cm="1">
        <f t="array" ref="E13">1*OR(row_id=income_header_row, row_id=expenses_header_row, row_id=savings_header_row)</f>
        <v>1</v>
      </c>
      <c r="F13">
        <f t="shared" ref="F13:F50" si="1">1*NOT(OR(is_header, is_total, is_empty))</f>
        <v>0</v>
      </c>
      <c r="G13" cm="1">
        <f t="array" ref="G13">1*OR(row_id=income_total_row, row_id=expenses_total_row, row_id=savings_total_row)</f>
        <v>0</v>
      </c>
      <c r="H13" s="55">
        <f t="shared" ref="H13:H50" si="2">1*OR(row_id="/1", row_id="/2", row_id=-1)</f>
        <v>0</v>
      </c>
      <c r="I13" s="54" t="str" cm="1">
        <f t="array" ref="I13">IFERROR(INDEX('Budget Planning'!$C:$C, header_row_id), "")</f>
        <v>Income</v>
      </c>
      <c r="J13" t="str" cm="1">
        <f t="array" ref="J13">IFERROR(INDEX('Budget Planning'!$C:$C, row_id), "")</f>
        <v>Income</v>
      </c>
      <c r="K13" s="57" t="str" cm="1">
        <f t="array" ref="K13">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13" s="58" t="str" cm="1">
        <f t="array" ref="L13">IF(OR(is_header, is_empty), "", INDEX('Budget Planning'!$E:$EM, row_id, MATCH(IF(Selected_Period="Total Year", Selected_Year, DATE(Selected_Year, Selected_Period, 1)), 'Budget Planning'!$E$9:$EM$9, 0)))</f>
        <v/>
      </c>
      <c r="M13" s="54" t="str" cm="1">
        <f t="array" ref="M13">IF(is_category, IF(header_row_id=income_header_row, MATCH(income_min_row, $C:$C, 0), IF(header_row_id=expenses_header_row, MATCH(expenses_min_row, $C:$C, 0), IF(header_row_id=savings_header_row, MATCH(savings_min_row, $C:$C, 0),""))), "")</f>
        <v/>
      </c>
      <c r="N13" s="55" t="str" cm="1">
        <f t="array" ref="N13">IF(is_category, IF(header_row_id=income_header_row, MATCH(income_max_row, $C:$C, 0), IF(header_row_id=expenses_header_row, MATCH(expenses_max_row, $C:$C, 0), IF(header_row_id=savings_header_row, MATCH(savings_max_row, $C:$C, 0),""))), "")</f>
        <v/>
      </c>
      <c r="O13" s="54" t="str">
        <f t="shared" ref="O13:O50" si="3">IF(is_category, ADDRESS(sort_min_row, COLUMN(tracked)) &amp; ":" &amp; ADDRESS(sort_max_row, COLUMN(tracked)),"")</f>
        <v/>
      </c>
      <c r="P13" t="str">
        <f t="shared" ref="P13:P50" ca="1" si="4">IF(is_category, RANK(tracked, INDIRECT(tracked_range), 0),"")</f>
        <v/>
      </c>
      <c r="Q13" t="str">
        <f t="shared" ref="Q13:Q50" si="5">IF(is_category, ADDRESS(sort_min_row, COLUMN(budget)) &amp; ":" &amp; ADDRESS(sort_max_row, COLUMN(budget)),"")</f>
        <v/>
      </c>
      <c r="R13" s="55" t="str">
        <f t="shared" ref="R13:R50" ca="1" si="6">IF(is_category, RANK(budget, INDIRECT(budget_range),0),"")</f>
        <v/>
      </c>
      <c r="S13" s="54" t="str">
        <f t="shared" ref="S13:S50" si="7">IF(is_category, _xlfn.NUMBERVALUE(tracked_rank &amp; budget_rank),"")</f>
        <v/>
      </c>
      <c r="T13" t="str">
        <f t="shared" ref="T13:T50" si="8">IF(is_category, ADDRESS(sort_min_row, COLUMN(comb_rank)) &amp; ":" &amp; ADDRESS(sort_max_row, COLUMN(comb_rank)),"")</f>
        <v/>
      </c>
      <c r="U13" t="str">
        <f t="shared" ref="U13:U50" ca="1" si="9">IF(is_category, RANK(comb_rank, INDIRECT(comb_rank_range),1),"")</f>
        <v/>
      </c>
      <c r="V13" t="str">
        <f t="shared" ref="V13:V50" si="10">IF(is_category, ADDRESS(sort_min_row, COLUMN(comb_rank_norm)) &amp; ":" &amp; ADDRESS(ROW(), COLUMN(comb_rank_norm)),"")</f>
        <v/>
      </c>
      <c r="W13" s="55" t="str">
        <f t="shared" ref="W13:W50" ca="1" si="11">IF(is_category,comb_rank_norm+COUNTIF(INDIRECT(comb_rank_norm_run_range),comb_rank_norm)-1,"")</f>
        <v/>
      </c>
      <c r="X13" s="60">
        <f t="shared" ref="X13:X50" si="12">IF(is_category, header_row_id + comb_rank_unique, row_id)</f>
        <v>9</v>
      </c>
      <c r="Y13" s="61" t="str">
        <f t="shared" ref="Y13:Y50" si="13">IF(is_empty,"",INDEX($J:$J, MATCH(row_id, $X:$X, 0)))</f>
        <v>Income</v>
      </c>
      <c r="Z13" s="63" t="str">
        <f t="shared" ref="Z13:Z50" si="14">IF(is_empty, "", IF(is_header, "Tracked", INDEX($K:$K, MATCH(row_id, $X:$X, 0))))</f>
        <v>Tracked</v>
      </c>
      <c r="AA13" s="63" t="str">
        <f t="shared" ref="AA13:AA50" si="15">IF(is_empty, "", IF(is_header, "Budget", INDEX($L:$L, MATCH(row_id, $X:$X, 0))))</f>
        <v>Budget</v>
      </c>
      <c r="AB13" s="62" t="str">
        <f t="shared" ref="AB13:AB50" si="16">IF(is_empty, "", IF(is_header, "% Compl.", IFERROR(out_tracked/out_budget, "-")))</f>
        <v>% Compl.</v>
      </c>
      <c r="AC13" s="64" t="str">
        <f t="shared" ref="AC13:AC50" si="17">IF(is_empty,"", IF(is_header, "Remaining", IF(out_budget-out_tracked&gt;0, out_budget-out_tracked, 0)))</f>
        <v>Remaining</v>
      </c>
      <c r="AD13" s="63" t="str">
        <f t="shared" ref="AD13:AD50" si="18">IF(is_empty,"", IF(is_header, "Excess", IF(out_budget-out_tracked&lt;0, out_tracked-out_budget, 0)))</f>
        <v>Excess</v>
      </c>
      <c r="AF13" s="66"/>
      <c r="AG13" s="67"/>
      <c r="AH13" s="67"/>
      <c r="AI13" s="67"/>
      <c r="AJ13" s="67"/>
      <c r="AK13" s="68"/>
    </row>
    <row r="14" spans="3:44" x14ac:dyDescent="0.3">
      <c r="C14" s="54" cm="1">
        <f t="array" ref="C14">IF(C13=-1,-1,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55">
        <f t="shared" si="0"/>
        <v>9</v>
      </c>
      <c r="E14" s="54" cm="1">
        <f t="array" ref="E14">1*OR(row_id=income_header_row, row_id=expenses_header_row, row_id=savings_header_row)</f>
        <v>0</v>
      </c>
      <c r="F14">
        <f t="shared" si="1"/>
        <v>1</v>
      </c>
      <c r="G14" cm="1">
        <f t="array" ref="G14">1*OR(row_id=income_total_row, row_id=expenses_total_row, row_id=savings_total_row)</f>
        <v>0</v>
      </c>
      <c r="H14" s="55">
        <f t="shared" si="2"/>
        <v>0</v>
      </c>
      <c r="I14" s="54" t="str" cm="1">
        <f t="array" ref="I14">IFERROR(INDEX('Budget Planning'!$C:$C, header_row_id), "")</f>
        <v>Income</v>
      </c>
      <c r="J14" t="str" cm="1">
        <f t="array" ref="J14">IFERROR(INDEX('Budget Planning'!$C:$C, row_id), "")</f>
        <v>Employment (Net)</v>
      </c>
      <c r="K14" s="57" cm="1">
        <f t="array" ref="K14">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4600</v>
      </c>
      <c r="L14" s="58" cm="1">
        <f t="array" ref="L14">IF(OR(is_header, is_empty), "", INDEX('Budget Planning'!$E:$EM, row_id, MATCH(IF(Selected_Period="Total Year", Selected_Year, DATE(Selected_Year, Selected_Period, 1)), 'Budget Planning'!$E$9:$EM$9, 0)))</f>
        <v>3500</v>
      </c>
      <c r="M14" s="54" cm="1">
        <f t="array" ref="M14">IF(is_category, IF(header_row_id=income_header_row, MATCH(income_min_row, $C:$C, 0), IF(header_row_id=expenses_header_row, MATCH(expenses_min_row, $C:$C, 0), IF(header_row_id=savings_header_row, MATCH(savings_min_row, $C:$C, 0),""))), "")</f>
        <v>14</v>
      </c>
      <c r="N14" s="55" cm="1">
        <f t="array" ref="N14">IF(is_category, IF(header_row_id=income_header_row, MATCH(income_max_row, $C:$C, 0), IF(header_row_id=expenses_header_row, MATCH(expenses_max_row, $C:$C, 0), IF(header_row_id=savings_header_row, MATCH(savings_max_row, $C:$C, 0),""))), "")</f>
        <v>16</v>
      </c>
      <c r="O14" s="54" t="str">
        <f t="shared" si="3"/>
        <v>$K$14:$K$16</v>
      </c>
      <c r="P14">
        <f t="shared" ca="1" si="4"/>
        <v>1</v>
      </c>
      <c r="Q14" t="str">
        <f t="shared" si="5"/>
        <v>$L$14:$L$16</v>
      </c>
      <c r="R14" s="55">
        <f t="shared" ca="1" si="6"/>
        <v>1</v>
      </c>
      <c r="S14" s="54">
        <f t="shared" ca="1" si="7"/>
        <v>11</v>
      </c>
      <c r="T14" t="str">
        <f t="shared" si="8"/>
        <v>$S$14:$S$16</v>
      </c>
      <c r="U14">
        <f t="shared" ca="1" si="9"/>
        <v>1</v>
      </c>
      <c r="V14" t="str">
        <f t="shared" si="10"/>
        <v>$U$14:$U$14</v>
      </c>
      <c r="W14" s="55">
        <f t="shared" ca="1" si="11"/>
        <v>1</v>
      </c>
      <c r="X14" s="60">
        <f t="shared" ca="1" si="12"/>
        <v>10</v>
      </c>
      <c r="Y14" s="61" t="str">
        <f t="shared" ca="1" si="13"/>
        <v>Employment (Net)</v>
      </c>
      <c r="Z14" s="63">
        <f t="shared" ca="1" si="14"/>
        <v>4600</v>
      </c>
      <c r="AA14" s="63">
        <f t="shared" ca="1" si="15"/>
        <v>3500</v>
      </c>
      <c r="AB14" s="62">
        <f t="shared" ca="1" si="16"/>
        <v>1.3142857142857143</v>
      </c>
      <c r="AC14" s="64">
        <f t="shared" ca="1" si="17"/>
        <v>0</v>
      </c>
      <c r="AD14" s="63">
        <f t="shared" ca="1" si="18"/>
        <v>1100</v>
      </c>
      <c r="AF14" s="69"/>
      <c r="AK14" s="70"/>
    </row>
    <row r="15" spans="3:44" x14ac:dyDescent="0.3">
      <c r="C15" s="54" cm="1">
        <f t="array" ref="C15">IF(C14=-1,-1,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11</v>
      </c>
      <c r="D15" s="55">
        <f t="shared" si="0"/>
        <v>9</v>
      </c>
      <c r="E15" s="54" cm="1">
        <f t="array" ref="E15">1*OR(row_id=income_header_row, row_id=expenses_header_row, row_id=savings_header_row)</f>
        <v>0</v>
      </c>
      <c r="F15">
        <f t="shared" si="1"/>
        <v>1</v>
      </c>
      <c r="G15" cm="1">
        <f t="array" ref="G15">1*OR(row_id=income_total_row, row_id=expenses_total_row, row_id=savings_total_row)</f>
        <v>0</v>
      </c>
      <c r="H15" s="55">
        <f t="shared" si="2"/>
        <v>0</v>
      </c>
      <c r="I15" s="54" t="str" cm="1">
        <f t="array" ref="I15">IFERROR(INDEX('Budget Planning'!$C:$C, header_row_id), "")</f>
        <v>Income</v>
      </c>
      <c r="J15" t="str" cm="1">
        <f t="array" ref="J15">IFERROR(INDEX('Budget Planning'!$C:$C, row_id), "")</f>
        <v>Side Hustle (Net)</v>
      </c>
      <c r="K15" s="57" cm="1">
        <f t="array" ref="K15">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1000</v>
      </c>
      <c r="L15" s="58" cm="1">
        <f t="array" ref="L15">IF(OR(is_header, is_empty), "", INDEX('Budget Planning'!$E:$EM, row_id, MATCH(IF(Selected_Period="Total Year", Selected_Year, DATE(Selected_Year, Selected_Period, 1)), 'Budget Planning'!$E$9:$EM$9, 0)))</f>
        <v>1000</v>
      </c>
      <c r="M15" s="54" cm="1">
        <f t="array" ref="M15">IF(is_category, IF(header_row_id=income_header_row, MATCH(income_min_row, $C:$C, 0), IF(header_row_id=expenses_header_row, MATCH(expenses_min_row, $C:$C, 0), IF(header_row_id=savings_header_row, MATCH(savings_min_row, $C:$C, 0),""))), "")</f>
        <v>14</v>
      </c>
      <c r="N15" s="55" cm="1">
        <f t="array" ref="N15">IF(is_category, IF(header_row_id=income_header_row, MATCH(income_max_row, $C:$C, 0), IF(header_row_id=expenses_header_row, MATCH(expenses_max_row, $C:$C, 0), IF(header_row_id=savings_header_row, MATCH(savings_max_row, $C:$C, 0),""))), "")</f>
        <v>16</v>
      </c>
      <c r="O15" s="54" t="str">
        <f t="shared" si="3"/>
        <v>$K$14:$K$16</v>
      </c>
      <c r="P15">
        <f t="shared" ca="1" si="4"/>
        <v>2</v>
      </c>
      <c r="Q15" t="str">
        <f t="shared" si="5"/>
        <v>$L$14:$L$16</v>
      </c>
      <c r="R15" s="55">
        <f t="shared" ca="1" si="6"/>
        <v>2</v>
      </c>
      <c r="S15" s="54">
        <f t="shared" ca="1" si="7"/>
        <v>22</v>
      </c>
      <c r="T15" t="str">
        <f t="shared" si="8"/>
        <v>$S$14:$S$16</v>
      </c>
      <c r="U15">
        <f t="shared" ca="1" si="9"/>
        <v>2</v>
      </c>
      <c r="V15" t="str">
        <f t="shared" si="10"/>
        <v>$U$14:$U$15</v>
      </c>
      <c r="W15" s="55">
        <f t="shared" ca="1" si="11"/>
        <v>2</v>
      </c>
      <c r="X15" s="60">
        <f t="shared" ca="1" si="12"/>
        <v>11</v>
      </c>
      <c r="Y15" s="61" t="str">
        <f t="shared" ca="1" si="13"/>
        <v>Side Hustle (Net)</v>
      </c>
      <c r="Z15" s="63">
        <f t="shared" ca="1" si="14"/>
        <v>1000</v>
      </c>
      <c r="AA15" s="63">
        <f t="shared" ca="1" si="15"/>
        <v>1000</v>
      </c>
      <c r="AB15" s="62">
        <f t="shared" ca="1" si="16"/>
        <v>1</v>
      </c>
      <c r="AC15" s="64">
        <f t="shared" ca="1" si="17"/>
        <v>0</v>
      </c>
      <c r="AD15" s="63">
        <f t="shared" ca="1" si="18"/>
        <v>0</v>
      </c>
      <c r="AF15" s="69"/>
      <c r="AK15" s="70"/>
    </row>
    <row r="16" spans="3:44" x14ac:dyDescent="0.3">
      <c r="C16" s="54" cm="1">
        <f t="array" ref="C16">IF(C15=-1,-1,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12</v>
      </c>
      <c r="D16" s="55">
        <f t="shared" si="0"/>
        <v>9</v>
      </c>
      <c r="E16" s="54" cm="1">
        <f t="array" ref="E16">1*OR(row_id=income_header_row, row_id=expenses_header_row, row_id=savings_header_row)</f>
        <v>0</v>
      </c>
      <c r="F16">
        <f t="shared" si="1"/>
        <v>1</v>
      </c>
      <c r="G16" cm="1">
        <f t="array" ref="G16">1*OR(row_id=income_total_row, row_id=expenses_total_row, row_id=savings_total_row)</f>
        <v>0</v>
      </c>
      <c r="H16" s="55">
        <f t="shared" si="2"/>
        <v>0</v>
      </c>
      <c r="I16" s="54" t="str" cm="1">
        <f t="array" ref="I16">IFERROR(INDEX('Budget Planning'!$C:$C, header_row_id), "")</f>
        <v>Income</v>
      </c>
      <c r="J16" t="str" cm="1">
        <f t="array" ref="J16">IFERROR(INDEX('Budget Planning'!$C:$C, row_id), "")</f>
        <v>Dividends</v>
      </c>
      <c r="K16" s="57" cm="1">
        <f t="array" ref="K16">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0</v>
      </c>
      <c r="L16" s="58" cm="1">
        <f t="array" ref="L16">IF(OR(is_header, is_empty), "", INDEX('Budget Planning'!$E:$EM, row_id, MATCH(IF(Selected_Period="Total Year", Selected_Year, DATE(Selected_Year, Selected_Period, 1)), 'Budget Planning'!$E$9:$EM$9, 0)))</f>
        <v>100</v>
      </c>
      <c r="M16" s="54" cm="1">
        <f t="array" ref="M16">IF(is_category, IF(header_row_id=income_header_row, MATCH(income_min_row, $C:$C, 0), IF(header_row_id=expenses_header_row, MATCH(expenses_min_row, $C:$C, 0), IF(header_row_id=savings_header_row, MATCH(savings_min_row, $C:$C, 0),""))), "")</f>
        <v>14</v>
      </c>
      <c r="N16" s="55" cm="1">
        <f t="array" ref="N16">IF(is_category, IF(header_row_id=income_header_row, MATCH(income_max_row, $C:$C, 0), IF(header_row_id=expenses_header_row, MATCH(expenses_max_row, $C:$C, 0), IF(header_row_id=savings_header_row, MATCH(savings_max_row, $C:$C, 0),""))), "")</f>
        <v>16</v>
      </c>
      <c r="O16" s="54" t="str">
        <f t="shared" si="3"/>
        <v>$K$14:$K$16</v>
      </c>
      <c r="P16">
        <f t="shared" ca="1" si="4"/>
        <v>3</v>
      </c>
      <c r="Q16" t="str">
        <f t="shared" si="5"/>
        <v>$L$14:$L$16</v>
      </c>
      <c r="R16" s="55">
        <f t="shared" ca="1" si="6"/>
        <v>3</v>
      </c>
      <c r="S16" s="54">
        <f t="shared" ca="1" si="7"/>
        <v>33</v>
      </c>
      <c r="T16" t="str">
        <f t="shared" si="8"/>
        <v>$S$14:$S$16</v>
      </c>
      <c r="U16">
        <f t="shared" ca="1" si="9"/>
        <v>3</v>
      </c>
      <c r="V16" t="str">
        <f t="shared" si="10"/>
        <v>$U$14:$U$16</v>
      </c>
      <c r="W16" s="55">
        <f t="shared" ca="1" si="11"/>
        <v>3</v>
      </c>
      <c r="X16" s="60">
        <f t="shared" ca="1" si="12"/>
        <v>12</v>
      </c>
      <c r="Y16" s="61" t="str">
        <f t="shared" ca="1" si="13"/>
        <v>Dividends</v>
      </c>
      <c r="Z16" s="63">
        <f t="shared" ca="1" si="14"/>
        <v>0</v>
      </c>
      <c r="AA16" s="63">
        <f t="shared" ca="1" si="15"/>
        <v>100</v>
      </c>
      <c r="AB16" s="62">
        <f t="shared" ca="1" si="16"/>
        <v>0</v>
      </c>
      <c r="AC16" s="64">
        <f t="shared" ca="1" si="17"/>
        <v>100</v>
      </c>
      <c r="AD16" s="63">
        <f t="shared" ca="1" si="18"/>
        <v>0</v>
      </c>
      <c r="AF16" s="69"/>
      <c r="AK16" s="70"/>
    </row>
    <row r="17" spans="3:37" x14ac:dyDescent="0.3">
      <c r="C17" s="54" cm="1">
        <f t="array" ref="C17">IF(C16=-1,-1,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20</v>
      </c>
      <c r="D17" s="55">
        <f t="shared" si="0"/>
        <v>9</v>
      </c>
      <c r="E17" s="54" cm="1">
        <f t="array" ref="E17">1*OR(row_id=income_header_row, row_id=expenses_header_row, row_id=savings_header_row)</f>
        <v>0</v>
      </c>
      <c r="F17">
        <f t="shared" si="1"/>
        <v>0</v>
      </c>
      <c r="G17" cm="1">
        <f t="array" ref="G17">1*OR(row_id=income_total_row, row_id=expenses_total_row, row_id=savings_total_row)</f>
        <v>1</v>
      </c>
      <c r="H17" s="55">
        <f t="shared" si="2"/>
        <v>0</v>
      </c>
      <c r="I17" s="54" t="str" cm="1">
        <f t="array" ref="I17">IFERROR(INDEX('Budget Planning'!$C:$C, header_row_id), "")</f>
        <v>Income</v>
      </c>
      <c r="J17" t="str" cm="1">
        <f t="array" ref="J17">IFERROR(INDEX('Budget Planning'!$C:$C, row_id), "")</f>
        <v>Total</v>
      </c>
      <c r="K17" s="57" cm="1">
        <f t="array" ref="K17">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5600</v>
      </c>
      <c r="L17" s="58" cm="1">
        <f t="array" aca="1" ref="L17" ca="1">IF(OR(is_header, is_empty), "", INDEX('Budget Planning'!$E:$EM, row_id, MATCH(IF(Selected_Period="Total Year", Selected_Year, DATE(Selected_Year, Selected_Period, 1)), 'Budget Planning'!$E$9:$EM$9, 0)))</f>
        <v>4600</v>
      </c>
      <c r="M17" s="54" t="str" cm="1">
        <f t="array" ref="M17">IF(is_category, IF(header_row_id=income_header_row, MATCH(income_min_row, $C:$C, 0), IF(header_row_id=expenses_header_row, MATCH(expenses_min_row, $C:$C, 0), IF(header_row_id=savings_header_row, MATCH(savings_min_row, $C:$C, 0),""))), "")</f>
        <v/>
      </c>
      <c r="N17" s="55" t="str" cm="1">
        <f t="array" ref="N17">IF(is_category, IF(header_row_id=income_header_row, MATCH(income_max_row, $C:$C, 0), IF(header_row_id=expenses_header_row, MATCH(expenses_max_row, $C:$C, 0), IF(header_row_id=savings_header_row, MATCH(savings_max_row, $C:$C, 0),""))), "")</f>
        <v/>
      </c>
      <c r="O17" s="54" t="str">
        <f t="shared" si="3"/>
        <v/>
      </c>
      <c r="P17" t="str">
        <f t="shared" ca="1" si="4"/>
        <v/>
      </c>
      <c r="Q17" t="str">
        <f t="shared" si="5"/>
        <v/>
      </c>
      <c r="R17" s="55" t="str">
        <f t="shared" ca="1" si="6"/>
        <v/>
      </c>
      <c r="S17" s="54" t="str">
        <f t="shared" si="7"/>
        <v/>
      </c>
      <c r="T17" t="str">
        <f t="shared" si="8"/>
        <v/>
      </c>
      <c r="U17" t="str">
        <f t="shared" ca="1" si="9"/>
        <v/>
      </c>
      <c r="V17" t="str">
        <f t="shared" si="10"/>
        <v/>
      </c>
      <c r="W17" s="55" t="str">
        <f t="shared" ca="1" si="11"/>
        <v/>
      </c>
      <c r="X17" s="60">
        <f t="shared" si="12"/>
        <v>20</v>
      </c>
      <c r="Y17" s="61" t="str">
        <f t="shared" ca="1" si="13"/>
        <v>Total</v>
      </c>
      <c r="Z17" s="63">
        <f t="shared" ca="1" si="14"/>
        <v>5600</v>
      </c>
      <c r="AA17" s="63">
        <f t="shared" ca="1" si="15"/>
        <v>4600</v>
      </c>
      <c r="AB17" s="62">
        <f t="shared" ca="1" si="16"/>
        <v>1.2173913043478262</v>
      </c>
      <c r="AC17" s="64">
        <f t="shared" ca="1" si="17"/>
        <v>0</v>
      </c>
      <c r="AD17" s="63">
        <f t="shared" ca="1" si="18"/>
        <v>1000</v>
      </c>
      <c r="AF17" s="69"/>
      <c r="AK17" s="70"/>
    </row>
    <row r="18" spans="3:37" x14ac:dyDescent="0.3">
      <c r="C18" s="54" t="str" cm="1">
        <f t="array" ref="C18">IF(C17=-1,-1,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/1</v>
      </c>
      <c r="D18" s="55">
        <f t="shared" si="0"/>
        <v>-1</v>
      </c>
      <c r="E18" s="54" cm="1">
        <f t="array" ref="E18">1*OR(row_id=income_header_row, row_id=expenses_header_row, row_id=savings_header_row)</f>
        <v>0</v>
      </c>
      <c r="F18">
        <f t="shared" si="1"/>
        <v>0</v>
      </c>
      <c r="G18" cm="1">
        <f t="array" ref="G18">1*OR(row_id=income_total_row, row_id=expenses_total_row, row_id=savings_total_row)</f>
        <v>0</v>
      </c>
      <c r="H18" s="55">
        <f t="shared" si="2"/>
        <v>1</v>
      </c>
      <c r="I18" s="54" t="str" cm="1">
        <f t="array" ref="I18">IFERROR(INDEX('Budget Planning'!$C:$C, header_row_id), "")</f>
        <v/>
      </c>
      <c r="J18" t="str" cm="1">
        <f t="array" ref="J18">IFERROR(INDEX('Budget Planning'!$C:$C, row_id), "")</f>
        <v/>
      </c>
      <c r="K18" s="57" t="str" cm="1">
        <f t="array" ref="K18">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18" s="58" t="str" cm="1">
        <f t="array" ref="L18">IF(OR(is_header, is_empty), "", INDEX('Budget Planning'!$E:$EM, row_id, MATCH(IF(Selected_Period="Total Year", Selected_Year, DATE(Selected_Year, Selected_Period, 1)), 'Budget Planning'!$E$9:$EM$9, 0)))</f>
        <v/>
      </c>
      <c r="M18" s="54" t="str" cm="1">
        <f t="array" ref="M18">IF(is_category, IF(header_row_id=income_header_row, MATCH(income_min_row, $C:$C, 0), IF(header_row_id=expenses_header_row, MATCH(expenses_min_row, $C:$C, 0), IF(header_row_id=savings_header_row, MATCH(savings_min_row, $C:$C, 0),""))), "")</f>
        <v/>
      </c>
      <c r="N18" s="55" t="str" cm="1">
        <f t="array" ref="N18">IF(is_category, IF(header_row_id=income_header_row, MATCH(income_max_row, $C:$C, 0), IF(header_row_id=expenses_header_row, MATCH(expenses_max_row, $C:$C, 0), IF(header_row_id=savings_header_row, MATCH(savings_max_row, $C:$C, 0),""))), "")</f>
        <v/>
      </c>
      <c r="O18" s="54" t="str">
        <f t="shared" si="3"/>
        <v/>
      </c>
      <c r="P18" t="str">
        <f t="shared" ca="1" si="4"/>
        <v/>
      </c>
      <c r="Q18" t="str">
        <f t="shared" si="5"/>
        <v/>
      </c>
      <c r="R18" s="55" t="str">
        <f t="shared" ca="1" si="6"/>
        <v/>
      </c>
      <c r="S18" s="54" t="str">
        <f t="shared" si="7"/>
        <v/>
      </c>
      <c r="T18" t="str">
        <f t="shared" si="8"/>
        <v/>
      </c>
      <c r="U18" t="str">
        <f t="shared" ca="1" si="9"/>
        <v/>
      </c>
      <c r="V18" t="str">
        <f t="shared" si="10"/>
        <v/>
      </c>
      <c r="W18" s="55" t="str">
        <f t="shared" ca="1" si="11"/>
        <v/>
      </c>
      <c r="X18" s="60" t="str">
        <f t="shared" si="12"/>
        <v>/1</v>
      </c>
      <c r="Y18" s="61" t="str">
        <f t="shared" si="13"/>
        <v/>
      </c>
      <c r="Z18" s="63" t="str">
        <f t="shared" si="14"/>
        <v/>
      </c>
      <c r="AA18" s="63" t="str">
        <f t="shared" si="15"/>
        <v/>
      </c>
      <c r="AB18" s="62" t="str">
        <f t="shared" si="16"/>
        <v/>
      </c>
      <c r="AC18" s="64" t="str">
        <f t="shared" si="17"/>
        <v/>
      </c>
      <c r="AD18" s="63" t="str">
        <f t="shared" si="18"/>
        <v/>
      </c>
      <c r="AF18" s="69"/>
      <c r="AK18" s="70"/>
    </row>
    <row r="19" spans="3:37" x14ac:dyDescent="0.3">
      <c r="C19" s="54" cm="1">
        <f t="array" ref="C19">IF(C18=-1,-1,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22</v>
      </c>
      <c r="D19" s="55">
        <f t="shared" si="0"/>
        <v>22</v>
      </c>
      <c r="E19" s="54" cm="1">
        <f t="array" ref="E19">1*OR(row_id=income_header_row, row_id=expenses_header_row, row_id=savings_header_row)</f>
        <v>1</v>
      </c>
      <c r="F19">
        <f t="shared" si="1"/>
        <v>0</v>
      </c>
      <c r="G19" cm="1">
        <f t="array" ref="G19">1*OR(row_id=income_total_row, row_id=expenses_total_row, row_id=savings_total_row)</f>
        <v>0</v>
      </c>
      <c r="H19" s="55">
        <f t="shared" si="2"/>
        <v>0</v>
      </c>
      <c r="I19" s="54" t="str" cm="1">
        <f t="array" ref="I19">IFERROR(INDEX('Budget Planning'!$C:$C, header_row_id), "")</f>
        <v>Expenses</v>
      </c>
      <c r="J19" t="str" cm="1">
        <f t="array" ref="J19">IFERROR(INDEX('Budget Planning'!$C:$C, row_id), "")</f>
        <v>Expenses</v>
      </c>
      <c r="K19" s="57" t="str" cm="1">
        <f t="array" ref="K19">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19" s="58" t="str" cm="1">
        <f t="array" ref="L19">IF(OR(is_header, is_empty), "", INDEX('Budget Planning'!$E:$EM, row_id, MATCH(IF(Selected_Period="Total Year", Selected_Year, DATE(Selected_Year, Selected_Period, 1)), 'Budget Planning'!$E$9:$EM$9, 0)))</f>
        <v/>
      </c>
      <c r="M19" s="54" t="str" cm="1">
        <f t="array" ref="M19">IF(is_category, IF(header_row_id=income_header_row, MATCH(income_min_row, $C:$C, 0), IF(header_row_id=expenses_header_row, MATCH(expenses_min_row, $C:$C, 0), IF(header_row_id=savings_header_row, MATCH(savings_min_row, $C:$C, 0),""))), "")</f>
        <v/>
      </c>
      <c r="N19" s="55" t="str" cm="1">
        <f t="array" ref="N19">IF(is_category, IF(header_row_id=income_header_row, MATCH(income_max_row, $C:$C, 0), IF(header_row_id=expenses_header_row, MATCH(expenses_max_row, $C:$C, 0), IF(header_row_id=savings_header_row, MATCH(savings_max_row, $C:$C, 0),""))), "")</f>
        <v/>
      </c>
      <c r="O19" s="54" t="str">
        <f t="shared" si="3"/>
        <v/>
      </c>
      <c r="P19" t="str">
        <f t="shared" ca="1" si="4"/>
        <v/>
      </c>
      <c r="Q19" t="str">
        <f t="shared" si="5"/>
        <v/>
      </c>
      <c r="R19" s="55" t="str">
        <f t="shared" ca="1" si="6"/>
        <v/>
      </c>
      <c r="S19" s="54" t="str">
        <f t="shared" si="7"/>
        <v/>
      </c>
      <c r="T19" t="str">
        <f t="shared" si="8"/>
        <v/>
      </c>
      <c r="U19" t="str">
        <f t="shared" ca="1" si="9"/>
        <v/>
      </c>
      <c r="V19" t="str">
        <f t="shared" si="10"/>
        <v/>
      </c>
      <c r="W19" s="55" t="str">
        <f t="shared" ca="1" si="11"/>
        <v/>
      </c>
      <c r="X19" s="60">
        <f t="shared" si="12"/>
        <v>22</v>
      </c>
      <c r="Y19" s="61" t="str">
        <f t="shared" ca="1" si="13"/>
        <v>Expenses</v>
      </c>
      <c r="Z19" s="63" t="str">
        <f t="shared" si="14"/>
        <v>Tracked</v>
      </c>
      <c r="AA19" s="63" t="str">
        <f t="shared" si="15"/>
        <v>Budget</v>
      </c>
      <c r="AB19" s="62" t="str">
        <f t="shared" si="16"/>
        <v>% Compl.</v>
      </c>
      <c r="AC19" s="64" t="str">
        <f t="shared" si="17"/>
        <v>Remaining</v>
      </c>
      <c r="AD19" s="63" t="str">
        <f t="shared" si="18"/>
        <v>Excess</v>
      </c>
      <c r="AF19" s="69"/>
      <c r="AK19" s="70"/>
    </row>
    <row r="20" spans="3:37" x14ac:dyDescent="0.3">
      <c r="C20" s="54" cm="1">
        <f t="array" ref="C20">IF(C19=-1,-1,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23</v>
      </c>
      <c r="D20" s="55">
        <f t="shared" si="0"/>
        <v>22</v>
      </c>
      <c r="E20" s="54" cm="1">
        <f t="array" ref="E20">1*OR(row_id=income_header_row, row_id=expenses_header_row, row_id=savings_header_row)</f>
        <v>0</v>
      </c>
      <c r="F20">
        <f t="shared" si="1"/>
        <v>1</v>
      </c>
      <c r="G20" cm="1">
        <f t="array" ref="G20">1*OR(row_id=income_total_row, row_id=expenses_total_row, row_id=savings_total_row)</f>
        <v>0</v>
      </c>
      <c r="H20" s="55">
        <f t="shared" si="2"/>
        <v>0</v>
      </c>
      <c r="I20" s="54" t="str" cm="1">
        <f t="array" ref="I20">IFERROR(INDEX('Budget Planning'!$C:$C, header_row_id), "")</f>
        <v>Expenses</v>
      </c>
      <c r="J20" t="str" cm="1">
        <f t="array" ref="J20">IFERROR(INDEX('Budget Planning'!$C:$C, row_id), "")</f>
        <v>Housing</v>
      </c>
      <c r="K20" s="57" cm="1">
        <f t="array" ref="K20">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300</v>
      </c>
      <c r="L20" s="58" cm="1">
        <f t="array" ref="L20">IF(OR(is_header, is_empty), "", INDEX('Budget Planning'!$E:$EM, row_id, MATCH(IF(Selected_Period="Total Year", Selected_Year, DATE(Selected_Year, Selected_Period, 1)), 'Budget Planning'!$E$9:$EM$9, 0)))</f>
        <v>1200</v>
      </c>
      <c r="M20" s="54" cm="1">
        <f t="array" ref="M20">IF(is_category, IF(header_row_id=income_header_row, MATCH(income_min_row, $C:$C, 0), IF(header_row_id=expenses_header_row, MATCH(expenses_min_row, $C:$C, 0), IF(header_row_id=savings_header_row, MATCH(savings_min_row, $C:$C, 0),""))), "")</f>
        <v>20</v>
      </c>
      <c r="N20" s="55" cm="1">
        <f t="array" ref="N20">IF(is_category, IF(header_row_id=income_header_row, MATCH(income_max_row, $C:$C, 0), IF(header_row_id=expenses_header_row, MATCH(expenses_max_row, $C:$C, 0), IF(header_row_id=savings_header_row, MATCH(savings_max_row, $C:$C, 0),""))), "")</f>
        <v>28</v>
      </c>
      <c r="O20" s="54" t="str">
        <f t="shared" si="3"/>
        <v>$K$20:$K$28</v>
      </c>
      <c r="P20">
        <f t="shared" ca="1" si="4"/>
        <v>2</v>
      </c>
      <c r="Q20" t="str">
        <f t="shared" si="5"/>
        <v>$L$20:$L$28</v>
      </c>
      <c r="R20" s="55">
        <f t="shared" ca="1" si="6"/>
        <v>1</v>
      </c>
      <c r="S20" s="54">
        <f t="shared" ca="1" si="7"/>
        <v>21</v>
      </c>
      <c r="T20" t="str">
        <f t="shared" si="8"/>
        <v>$S$20:$S$28</v>
      </c>
      <c r="U20">
        <f t="shared" ca="1" si="9"/>
        <v>2</v>
      </c>
      <c r="V20" t="str">
        <f t="shared" si="10"/>
        <v>$U$20:$U$20</v>
      </c>
      <c r="W20" s="55">
        <f t="shared" ca="1" si="11"/>
        <v>2</v>
      </c>
      <c r="X20" s="60">
        <f t="shared" ca="1" si="12"/>
        <v>24</v>
      </c>
      <c r="Y20" s="61" t="str">
        <f t="shared" ca="1" si="13"/>
        <v>Transportation</v>
      </c>
      <c r="Z20" s="63">
        <f t="shared" ca="1" si="14"/>
        <v>470</v>
      </c>
      <c r="AA20" s="63">
        <f t="shared" ca="1" si="15"/>
        <v>300</v>
      </c>
      <c r="AB20" s="62">
        <f t="shared" ca="1" si="16"/>
        <v>1.5666666666666667</v>
      </c>
      <c r="AC20" s="64">
        <f t="shared" ca="1" si="17"/>
        <v>0</v>
      </c>
      <c r="AD20" s="63">
        <f t="shared" ca="1" si="18"/>
        <v>170</v>
      </c>
      <c r="AF20" s="69"/>
      <c r="AK20" s="70"/>
    </row>
    <row r="21" spans="3:37" x14ac:dyDescent="0.3">
      <c r="C21" s="54" cm="1">
        <f t="array" ref="C21">IF(C20=-1,-1,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24</v>
      </c>
      <c r="D21" s="55">
        <f t="shared" si="0"/>
        <v>22</v>
      </c>
      <c r="E21" s="54" cm="1">
        <f t="array" ref="E21">1*OR(row_id=income_header_row, row_id=expenses_header_row, row_id=savings_header_row)</f>
        <v>0</v>
      </c>
      <c r="F21">
        <f t="shared" si="1"/>
        <v>1</v>
      </c>
      <c r="G21" cm="1">
        <f t="array" ref="G21">1*OR(row_id=income_total_row, row_id=expenses_total_row, row_id=savings_total_row)</f>
        <v>0</v>
      </c>
      <c r="H21" s="55">
        <f t="shared" si="2"/>
        <v>0</v>
      </c>
      <c r="I21" s="54" t="str" cm="1">
        <f t="array" ref="I21">IFERROR(INDEX('Budget Planning'!$C:$C, header_row_id), "")</f>
        <v>Expenses</v>
      </c>
      <c r="J21" t="str" cm="1">
        <f t="array" ref="J21">IFERROR(INDEX('Budget Planning'!$C:$C, row_id), "")</f>
        <v>Utilities</v>
      </c>
      <c r="K21" s="57" cm="1">
        <f t="array" ref="K21">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150</v>
      </c>
      <c r="L21" s="58" cm="1">
        <f t="array" ref="L21">IF(OR(is_header, is_empty), "", INDEX('Budget Planning'!$E:$EM, row_id, MATCH(IF(Selected_Period="Total Year", Selected_Year, DATE(Selected_Year, Selected_Period, 1)), 'Budget Planning'!$E$9:$EM$9, 0)))</f>
        <v>300</v>
      </c>
      <c r="M21" s="54" cm="1">
        <f t="array" ref="M21">IF(is_category, IF(header_row_id=income_header_row, MATCH(income_min_row, $C:$C, 0), IF(header_row_id=expenses_header_row, MATCH(expenses_min_row, $C:$C, 0), IF(header_row_id=savings_header_row, MATCH(savings_min_row, $C:$C, 0),""))), "")</f>
        <v>20</v>
      </c>
      <c r="N21" s="55" cm="1">
        <f t="array" ref="N21">IF(is_category, IF(header_row_id=income_header_row, MATCH(income_max_row, $C:$C, 0), IF(header_row_id=expenses_header_row, MATCH(expenses_max_row, $C:$C, 0), IF(header_row_id=savings_header_row, MATCH(savings_max_row, $C:$C, 0),""))), "")</f>
        <v>28</v>
      </c>
      <c r="O21" s="54" t="str">
        <f t="shared" si="3"/>
        <v>$K$20:$K$28</v>
      </c>
      <c r="P21">
        <f t="shared" ca="1" si="4"/>
        <v>4</v>
      </c>
      <c r="Q21" t="str">
        <f t="shared" si="5"/>
        <v>$L$20:$L$28</v>
      </c>
      <c r="R21" s="55">
        <f t="shared" ca="1" si="6"/>
        <v>3</v>
      </c>
      <c r="S21" s="54">
        <f t="shared" ca="1" si="7"/>
        <v>43</v>
      </c>
      <c r="T21" t="str">
        <f t="shared" si="8"/>
        <v>$S$20:$S$28</v>
      </c>
      <c r="U21">
        <f t="shared" ca="1" si="9"/>
        <v>4</v>
      </c>
      <c r="V21" t="str">
        <f t="shared" si="10"/>
        <v>$U$20:$U$21</v>
      </c>
      <c r="W21" s="55">
        <f t="shared" ca="1" si="11"/>
        <v>4</v>
      </c>
      <c r="X21" s="60">
        <f t="shared" ca="1" si="12"/>
        <v>26</v>
      </c>
      <c r="Y21" s="61" t="str">
        <f t="shared" ca="1" si="13"/>
        <v>Housing</v>
      </c>
      <c r="Z21" s="63">
        <f t="shared" ca="1" si="14"/>
        <v>300</v>
      </c>
      <c r="AA21" s="63">
        <f t="shared" ca="1" si="15"/>
        <v>1200</v>
      </c>
      <c r="AB21" s="62">
        <f t="shared" ca="1" si="16"/>
        <v>0.25</v>
      </c>
      <c r="AC21" s="64">
        <f t="shared" ca="1" si="17"/>
        <v>900</v>
      </c>
      <c r="AD21" s="63">
        <f t="shared" ca="1" si="18"/>
        <v>0</v>
      </c>
      <c r="AF21" s="69"/>
      <c r="AK21" s="70"/>
    </row>
    <row r="22" spans="3:37" x14ac:dyDescent="0.3">
      <c r="C22" s="54" cm="1">
        <f t="array" ref="C22">IF(C21=-1,-1,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25</v>
      </c>
      <c r="D22" s="55">
        <f t="shared" si="0"/>
        <v>22</v>
      </c>
      <c r="E22" s="54" cm="1">
        <f t="array" ref="E22">1*OR(row_id=income_header_row, row_id=expenses_header_row, row_id=savings_header_row)</f>
        <v>0</v>
      </c>
      <c r="F22">
        <f t="shared" si="1"/>
        <v>1</v>
      </c>
      <c r="G22" cm="1">
        <f t="array" ref="G22">1*OR(row_id=income_total_row, row_id=expenses_total_row, row_id=savings_total_row)</f>
        <v>0</v>
      </c>
      <c r="H22" s="55">
        <f t="shared" si="2"/>
        <v>0</v>
      </c>
      <c r="I22" s="54" t="str" cm="1">
        <f t="array" ref="I22">IFERROR(INDEX('Budget Planning'!$C:$C, header_row_id), "")</f>
        <v>Expenses</v>
      </c>
      <c r="J22" t="str" cm="1">
        <f t="array" ref="J22">IFERROR(INDEX('Budget Planning'!$C:$C, row_id), "")</f>
        <v>Groceries</v>
      </c>
      <c r="K22" s="57" cm="1">
        <f t="array" ref="K22">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20</v>
      </c>
      <c r="L22" s="58" cm="1">
        <f t="array" ref="L22">IF(OR(is_header, is_empty), "", INDEX('Budget Planning'!$E:$EM, row_id, MATCH(IF(Selected_Period="Total Year", Selected_Year, DATE(Selected_Year, Selected_Period, 1)), 'Budget Planning'!$E$9:$EM$9, 0)))</f>
        <v>350</v>
      </c>
      <c r="M22" s="54" cm="1">
        <f t="array" ref="M22">IF(is_category, IF(header_row_id=income_header_row, MATCH(income_min_row, $C:$C, 0), IF(header_row_id=expenses_header_row, MATCH(expenses_min_row, $C:$C, 0), IF(header_row_id=savings_header_row, MATCH(savings_min_row, $C:$C, 0),""))), "")</f>
        <v>20</v>
      </c>
      <c r="N22" s="55" cm="1">
        <f t="array" ref="N22">IF(is_category, IF(header_row_id=income_header_row, MATCH(income_max_row, $C:$C, 0), IF(header_row_id=expenses_header_row, MATCH(expenses_max_row, $C:$C, 0), IF(header_row_id=savings_header_row, MATCH(savings_max_row, $C:$C, 0),""))), "")</f>
        <v>28</v>
      </c>
      <c r="O22" s="54" t="str">
        <f t="shared" si="3"/>
        <v>$K$20:$K$28</v>
      </c>
      <c r="P22">
        <f t="shared" ca="1" si="4"/>
        <v>9</v>
      </c>
      <c r="Q22" t="str">
        <f t="shared" si="5"/>
        <v>$L$20:$L$28</v>
      </c>
      <c r="R22" s="55">
        <f t="shared" ca="1" si="6"/>
        <v>2</v>
      </c>
      <c r="S22" s="54">
        <f t="shared" ca="1" si="7"/>
        <v>92</v>
      </c>
      <c r="T22" t="str">
        <f t="shared" si="8"/>
        <v>$S$20:$S$28</v>
      </c>
      <c r="U22">
        <f t="shared" ca="1" si="9"/>
        <v>9</v>
      </c>
      <c r="V22" t="str">
        <f t="shared" si="10"/>
        <v>$U$20:$U$22</v>
      </c>
      <c r="W22" s="55">
        <f t="shared" ca="1" si="11"/>
        <v>9</v>
      </c>
      <c r="X22" s="60">
        <f t="shared" ca="1" si="12"/>
        <v>31</v>
      </c>
      <c r="Y22" s="61" t="str">
        <f t="shared" ca="1" si="13"/>
        <v>Fun &amp; Vacation</v>
      </c>
      <c r="Z22" s="63">
        <f t="shared" ca="1" si="14"/>
        <v>200</v>
      </c>
      <c r="AA22" s="63">
        <f t="shared" ca="1" si="15"/>
        <v>300</v>
      </c>
      <c r="AB22" s="62">
        <f t="shared" ca="1" si="16"/>
        <v>0.66666666666666663</v>
      </c>
      <c r="AC22" s="64">
        <f t="shared" ca="1" si="17"/>
        <v>100</v>
      </c>
      <c r="AD22" s="63">
        <f t="shared" ca="1" si="18"/>
        <v>0</v>
      </c>
      <c r="AF22" s="69"/>
      <c r="AK22" s="70"/>
    </row>
    <row r="23" spans="3:37" x14ac:dyDescent="0.3">
      <c r="C23" s="54" cm="1">
        <f t="array" ref="C23">IF(C22=-1,-1,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26</v>
      </c>
      <c r="D23" s="55">
        <f t="shared" si="0"/>
        <v>22</v>
      </c>
      <c r="E23" s="54" cm="1">
        <f t="array" ref="E23">1*OR(row_id=income_header_row, row_id=expenses_header_row, row_id=savings_header_row)</f>
        <v>0</v>
      </c>
      <c r="F23">
        <f t="shared" si="1"/>
        <v>1</v>
      </c>
      <c r="G23" cm="1">
        <f t="array" ref="G23">1*OR(row_id=income_total_row, row_id=expenses_total_row, row_id=savings_total_row)</f>
        <v>0</v>
      </c>
      <c r="H23" s="55">
        <f t="shared" si="2"/>
        <v>0</v>
      </c>
      <c r="I23" s="54" t="str" cm="1">
        <f t="array" ref="I23">IFERROR(INDEX('Budget Planning'!$C:$C, header_row_id), "")</f>
        <v>Expenses</v>
      </c>
      <c r="J23" t="str" cm="1">
        <f t="array" ref="J23">IFERROR(INDEX('Budget Planning'!$C:$C, row_id), "")</f>
        <v>Transportation</v>
      </c>
      <c r="K23" s="57" cm="1">
        <f t="array" ref="K23">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470</v>
      </c>
      <c r="L23" s="58" cm="1">
        <f t="array" ref="L23">IF(OR(is_header, is_empty), "", INDEX('Budget Planning'!$E:$EM, row_id, MATCH(IF(Selected_Period="Total Year", Selected_Year, DATE(Selected_Year, Selected_Period, 1)), 'Budget Planning'!$E$9:$EM$9, 0)))</f>
        <v>300</v>
      </c>
      <c r="M23" s="54" cm="1">
        <f t="array" ref="M23">IF(is_category, IF(header_row_id=income_header_row, MATCH(income_min_row, $C:$C, 0), IF(header_row_id=expenses_header_row, MATCH(expenses_min_row, $C:$C, 0), IF(header_row_id=savings_header_row, MATCH(savings_min_row, $C:$C, 0),""))), "")</f>
        <v>20</v>
      </c>
      <c r="N23" s="55" cm="1">
        <f t="array" ref="N23">IF(is_category, IF(header_row_id=income_header_row, MATCH(income_max_row, $C:$C, 0), IF(header_row_id=expenses_header_row, MATCH(expenses_max_row, $C:$C, 0), IF(header_row_id=savings_header_row, MATCH(savings_max_row, $C:$C, 0),""))), "")</f>
        <v>28</v>
      </c>
      <c r="O23" s="54" t="str">
        <f t="shared" si="3"/>
        <v>$K$20:$K$28</v>
      </c>
      <c r="P23">
        <f t="shared" ca="1" si="4"/>
        <v>1</v>
      </c>
      <c r="Q23" t="str">
        <f t="shared" si="5"/>
        <v>$L$20:$L$28</v>
      </c>
      <c r="R23" s="55">
        <f t="shared" ca="1" si="6"/>
        <v>3</v>
      </c>
      <c r="S23" s="54">
        <f t="shared" ca="1" si="7"/>
        <v>13</v>
      </c>
      <c r="T23" t="str">
        <f t="shared" si="8"/>
        <v>$S$20:$S$28</v>
      </c>
      <c r="U23">
        <f t="shared" ca="1" si="9"/>
        <v>1</v>
      </c>
      <c r="V23" t="str">
        <f t="shared" si="10"/>
        <v>$U$20:$U$23</v>
      </c>
      <c r="W23" s="55">
        <f t="shared" ca="1" si="11"/>
        <v>1</v>
      </c>
      <c r="X23" s="60">
        <f t="shared" ca="1" si="12"/>
        <v>23</v>
      </c>
      <c r="Y23" s="61" t="str">
        <f t="shared" ca="1" si="13"/>
        <v>Utilities</v>
      </c>
      <c r="Z23" s="63">
        <f t="shared" ca="1" si="14"/>
        <v>150</v>
      </c>
      <c r="AA23" s="63">
        <f t="shared" ca="1" si="15"/>
        <v>300</v>
      </c>
      <c r="AB23" s="62">
        <f t="shared" ca="1" si="16"/>
        <v>0.5</v>
      </c>
      <c r="AC23" s="64">
        <f t="shared" ca="1" si="17"/>
        <v>150</v>
      </c>
      <c r="AD23" s="63">
        <f t="shared" ca="1" si="18"/>
        <v>0</v>
      </c>
      <c r="AF23" s="69"/>
      <c r="AK23" s="70"/>
    </row>
    <row r="24" spans="3:37" x14ac:dyDescent="0.3">
      <c r="C24" s="54" cm="1">
        <f t="array" ref="C24">IF(C23=-1,-1,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27</v>
      </c>
      <c r="D24" s="55">
        <f t="shared" si="0"/>
        <v>22</v>
      </c>
      <c r="E24" s="54" cm="1">
        <f t="array" ref="E24">1*OR(row_id=income_header_row, row_id=expenses_header_row, row_id=savings_header_row)</f>
        <v>0</v>
      </c>
      <c r="F24">
        <f t="shared" si="1"/>
        <v>1</v>
      </c>
      <c r="G24" cm="1">
        <f t="array" ref="G24">1*OR(row_id=income_total_row, row_id=expenses_total_row, row_id=savings_total_row)</f>
        <v>0</v>
      </c>
      <c r="H24" s="55">
        <f t="shared" si="2"/>
        <v>0</v>
      </c>
      <c r="I24" s="54" t="str" cm="1">
        <f t="array" ref="I24">IFERROR(INDEX('Budget Planning'!$C:$C, header_row_id), "")</f>
        <v>Expenses</v>
      </c>
      <c r="J24" t="str" cm="1">
        <f t="array" ref="J24">IFERROR(INDEX('Budget Planning'!$C:$C, row_id), "")</f>
        <v>Insurances</v>
      </c>
      <c r="K24" s="57" cm="1">
        <f t="array" ref="K24">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100</v>
      </c>
      <c r="L24" s="58" cm="1">
        <f t="array" ref="L24">IF(OR(is_header, is_empty), "", INDEX('Budget Planning'!$E:$EM, row_id, MATCH(IF(Selected_Period="Total Year", Selected_Year, DATE(Selected_Year, Selected_Period, 1)), 'Budget Planning'!$E$9:$EM$9, 0)))</f>
        <v>150</v>
      </c>
      <c r="M24" s="54" cm="1">
        <f t="array" ref="M24">IF(is_category, IF(header_row_id=income_header_row, MATCH(income_min_row, $C:$C, 0), IF(header_row_id=expenses_header_row, MATCH(expenses_min_row, $C:$C, 0), IF(header_row_id=savings_header_row, MATCH(savings_min_row, $C:$C, 0),""))), "")</f>
        <v>20</v>
      </c>
      <c r="N24" s="55" cm="1">
        <f t="array" ref="N24">IF(is_category, IF(header_row_id=income_header_row, MATCH(income_max_row, $C:$C, 0), IF(header_row_id=expenses_header_row, MATCH(expenses_max_row, $C:$C, 0), IF(header_row_id=savings_header_row, MATCH(savings_max_row, $C:$C, 0),""))), "")</f>
        <v>28</v>
      </c>
      <c r="O24" s="54" t="str">
        <f t="shared" si="3"/>
        <v>$K$20:$K$28</v>
      </c>
      <c r="P24">
        <f t="shared" ca="1" si="4"/>
        <v>5</v>
      </c>
      <c r="Q24" t="str">
        <f t="shared" si="5"/>
        <v>$L$20:$L$28</v>
      </c>
      <c r="R24" s="55">
        <f t="shared" ca="1" si="6"/>
        <v>8</v>
      </c>
      <c r="S24" s="54">
        <f t="shared" ca="1" si="7"/>
        <v>58</v>
      </c>
      <c r="T24" t="str">
        <f t="shared" si="8"/>
        <v>$S$20:$S$28</v>
      </c>
      <c r="U24">
        <f t="shared" ca="1" si="9"/>
        <v>5</v>
      </c>
      <c r="V24" t="str">
        <f t="shared" si="10"/>
        <v>$U$20:$U$24</v>
      </c>
      <c r="W24" s="55">
        <f t="shared" ca="1" si="11"/>
        <v>5</v>
      </c>
      <c r="X24" s="60">
        <f t="shared" ca="1" si="12"/>
        <v>27</v>
      </c>
      <c r="Y24" s="61" t="str">
        <f t="shared" ca="1" si="13"/>
        <v>Insurances</v>
      </c>
      <c r="Z24" s="63">
        <f t="shared" ca="1" si="14"/>
        <v>100</v>
      </c>
      <c r="AA24" s="63">
        <f t="shared" ca="1" si="15"/>
        <v>150</v>
      </c>
      <c r="AB24" s="62">
        <f t="shared" ca="1" si="16"/>
        <v>0.66666666666666663</v>
      </c>
      <c r="AC24" s="64">
        <f t="shared" ca="1" si="17"/>
        <v>50</v>
      </c>
      <c r="AD24" s="63">
        <f t="shared" ca="1" si="18"/>
        <v>0</v>
      </c>
      <c r="AF24" s="71"/>
      <c r="AG24" s="72"/>
      <c r="AH24" s="72"/>
      <c r="AI24" s="72"/>
      <c r="AJ24" s="72"/>
      <c r="AK24" s="73"/>
    </row>
    <row r="25" spans="3:37" x14ac:dyDescent="0.3">
      <c r="C25" s="54" cm="1">
        <f t="array" ref="C25">IF(C24=-1,-1,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28</v>
      </c>
      <c r="D25" s="55">
        <f t="shared" si="0"/>
        <v>22</v>
      </c>
      <c r="E25" s="54" cm="1">
        <f t="array" ref="E25">1*OR(row_id=income_header_row, row_id=expenses_header_row, row_id=savings_header_row)</f>
        <v>0</v>
      </c>
      <c r="F25">
        <f t="shared" si="1"/>
        <v>1</v>
      </c>
      <c r="G25" cm="1">
        <f t="array" ref="G25">1*OR(row_id=income_total_row, row_id=expenses_total_row, row_id=savings_total_row)</f>
        <v>0</v>
      </c>
      <c r="H25" s="55">
        <f t="shared" si="2"/>
        <v>0</v>
      </c>
      <c r="I25" s="54" t="str" cm="1">
        <f t="array" ref="I25">IFERROR(INDEX('Budget Planning'!$C:$C, header_row_id), "")</f>
        <v>Expenses</v>
      </c>
      <c r="J25" t="str" cm="1">
        <f t="array" ref="J25">IFERROR(INDEX('Budget Planning'!$C:$C, row_id), "")</f>
        <v>Clothing</v>
      </c>
      <c r="K25" s="57" cm="1">
        <f t="array" ref="K25">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60</v>
      </c>
      <c r="L25" s="58" cm="1">
        <f t="array" ref="L25">IF(OR(is_header, is_empty), "", INDEX('Budget Planning'!$E:$EM, row_id, MATCH(IF(Selected_Period="Total Year", Selected_Year, DATE(Selected_Year, Selected_Period, 1)), 'Budget Planning'!$E$9:$EM$9, 0)))</f>
        <v>200</v>
      </c>
      <c r="M25" s="54" cm="1">
        <f t="array" ref="M25">IF(is_category, IF(header_row_id=income_header_row, MATCH(income_min_row, $C:$C, 0), IF(header_row_id=expenses_header_row, MATCH(expenses_min_row, $C:$C, 0), IF(header_row_id=savings_header_row, MATCH(savings_min_row, $C:$C, 0),""))), "")</f>
        <v>20</v>
      </c>
      <c r="N25" s="55" cm="1">
        <f t="array" ref="N25">IF(is_category, IF(header_row_id=income_header_row, MATCH(income_max_row, $C:$C, 0), IF(header_row_id=expenses_header_row, MATCH(expenses_max_row, $C:$C, 0), IF(header_row_id=savings_header_row, MATCH(savings_max_row, $C:$C, 0),""))), "")</f>
        <v>28</v>
      </c>
      <c r="O25" s="54" t="str">
        <f t="shared" si="3"/>
        <v>$K$20:$K$28</v>
      </c>
      <c r="P25">
        <f t="shared" ca="1" si="4"/>
        <v>8</v>
      </c>
      <c r="Q25" t="str">
        <f t="shared" si="5"/>
        <v>$L$20:$L$28</v>
      </c>
      <c r="R25" s="55">
        <f t="shared" ca="1" si="6"/>
        <v>6</v>
      </c>
      <c r="S25" s="54">
        <f t="shared" ca="1" si="7"/>
        <v>86</v>
      </c>
      <c r="T25" t="str">
        <f t="shared" si="8"/>
        <v>$S$20:$S$28</v>
      </c>
      <c r="U25">
        <f t="shared" ca="1" si="9"/>
        <v>8</v>
      </c>
      <c r="V25" t="str">
        <f t="shared" si="10"/>
        <v>$U$20:$U$25</v>
      </c>
      <c r="W25" s="55">
        <f t="shared" ca="1" si="11"/>
        <v>8</v>
      </c>
      <c r="X25" s="60">
        <f t="shared" ca="1" si="12"/>
        <v>30</v>
      </c>
      <c r="Y25" s="61" t="str">
        <f t="shared" ca="1" si="13"/>
        <v>Media</v>
      </c>
      <c r="Z25" s="63">
        <f t="shared" ca="1" si="14"/>
        <v>100</v>
      </c>
      <c r="AA25" s="63">
        <f t="shared" ca="1" si="15"/>
        <v>50</v>
      </c>
      <c r="AB25" s="62">
        <f t="shared" ca="1" si="16"/>
        <v>2</v>
      </c>
      <c r="AC25" s="64">
        <f t="shared" ca="1" si="17"/>
        <v>0</v>
      </c>
      <c r="AD25" s="63">
        <f t="shared" ca="1" si="18"/>
        <v>50</v>
      </c>
    </row>
    <row r="26" spans="3:37" x14ac:dyDescent="0.3">
      <c r="C26" s="54" cm="1">
        <f t="array" ref="C26">IF(C25=-1,-1,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29</v>
      </c>
      <c r="D26" s="55">
        <f t="shared" si="0"/>
        <v>22</v>
      </c>
      <c r="E26" s="54" cm="1">
        <f t="array" ref="E26">1*OR(row_id=income_header_row, row_id=expenses_header_row, row_id=savings_header_row)</f>
        <v>0</v>
      </c>
      <c r="F26">
        <f t="shared" si="1"/>
        <v>1</v>
      </c>
      <c r="G26" cm="1">
        <f t="array" ref="G26">1*OR(row_id=income_total_row, row_id=expenses_total_row, row_id=savings_total_row)</f>
        <v>0</v>
      </c>
      <c r="H26" s="55">
        <f t="shared" si="2"/>
        <v>0</v>
      </c>
      <c r="I26" s="54" t="str" cm="1">
        <f t="array" ref="I26">IFERROR(INDEX('Budget Planning'!$C:$C, header_row_id), "")</f>
        <v>Expenses</v>
      </c>
      <c r="J26" t="str" cm="1">
        <f t="array" ref="J26">IFERROR(INDEX('Budget Planning'!$C:$C, row_id), "")</f>
        <v>Body Care &amp; Medicine</v>
      </c>
      <c r="K26" s="57" cm="1">
        <f t="array" ref="K26">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80</v>
      </c>
      <c r="L26" s="58" cm="1">
        <f t="array" ref="L26">IF(OR(is_header, is_empty), "", INDEX('Budget Planning'!$E:$EM, row_id, MATCH(IF(Selected_Period="Total Year", Selected_Year, DATE(Selected_Year, Selected_Period, 1)), 'Budget Planning'!$E$9:$EM$9, 0)))</f>
        <v>200</v>
      </c>
      <c r="M26" s="54" cm="1">
        <f t="array" ref="M26">IF(is_category, IF(header_row_id=income_header_row, MATCH(income_min_row, $C:$C, 0), IF(header_row_id=expenses_header_row, MATCH(expenses_min_row, $C:$C, 0), IF(header_row_id=savings_header_row, MATCH(savings_min_row, $C:$C, 0),""))), "")</f>
        <v>20</v>
      </c>
      <c r="N26" s="55" cm="1">
        <f t="array" ref="N26">IF(is_category, IF(header_row_id=income_header_row, MATCH(income_max_row, $C:$C, 0), IF(header_row_id=expenses_header_row, MATCH(expenses_max_row, $C:$C, 0), IF(header_row_id=savings_header_row, MATCH(savings_max_row, $C:$C, 0),""))), "")</f>
        <v>28</v>
      </c>
      <c r="O26" s="54" t="str">
        <f t="shared" si="3"/>
        <v>$K$20:$K$28</v>
      </c>
      <c r="P26">
        <f t="shared" ca="1" si="4"/>
        <v>7</v>
      </c>
      <c r="Q26" t="str">
        <f t="shared" si="5"/>
        <v>$L$20:$L$28</v>
      </c>
      <c r="R26" s="55">
        <f t="shared" ca="1" si="6"/>
        <v>6</v>
      </c>
      <c r="S26" s="54">
        <f t="shared" ca="1" si="7"/>
        <v>76</v>
      </c>
      <c r="T26" t="str">
        <f t="shared" si="8"/>
        <v>$S$20:$S$28</v>
      </c>
      <c r="U26">
        <f t="shared" ca="1" si="9"/>
        <v>7</v>
      </c>
      <c r="V26" t="str">
        <f t="shared" si="10"/>
        <v>$U$20:$U$26</v>
      </c>
      <c r="W26" s="55">
        <f t="shared" ca="1" si="11"/>
        <v>7</v>
      </c>
      <c r="X26" s="60">
        <f t="shared" ca="1" si="12"/>
        <v>29</v>
      </c>
      <c r="Y26" s="61" t="str">
        <f t="shared" ca="1" si="13"/>
        <v>Body Care &amp; Medicine</v>
      </c>
      <c r="Z26" s="63">
        <f t="shared" ca="1" si="14"/>
        <v>80</v>
      </c>
      <c r="AA26" s="63">
        <f t="shared" ca="1" si="15"/>
        <v>200</v>
      </c>
      <c r="AB26" s="62">
        <f t="shared" ca="1" si="16"/>
        <v>0.4</v>
      </c>
      <c r="AC26" s="64">
        <f t="shared" ca="1" si="17"/>
        <v>120</v>
      </c>
      <c r="AD26" s="63">
        <f t="shared" ca="1" si="18"/>
        <v>0</v>
      </c>
    </row>
    <row r="27" spans="3:37" x14ac:dyDescent="0.3">
      <c r="C27" s="54" cm="1">
        <f t="array" ref="C27">IF(C26=-1,-1,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30</v>
      </c>
      <c r="D27" s="55">
        <f t="shared" si="0"/>
        <v>22</v>
      </c>
      <c r="E27" s="54" cm="1">
        <f t="array" ref="E27">1*OR(row_id=income_header_row, row_id=expenses_header_row, row_id=savings_header_row)</f>
        <v>0</v>
      </c>
      <c r="F27">
        <f t="shared" si="1"/>
        <v>1</v>
      </c>
      <c r="G27" cm="1">
        <f t="array" ref="G27">1*OR(row_id=income_total_row, row_id=expenses_total_row, row_id=savings_total_row)</f>
        <v>0</v>
      </c>
      <c r="H27" s="55">
        <f t="shared" si="2"/>
        <v>0</v>
      </c>
      <c r="I27" s="54" t="str" cm="1">
        <f t="array" ref="I27">IFERROR(INDEX('Budget Planning'!$C:$C, header_row_id), "")</f>
        <v>Expenses</v>
      </c>
      <c r="J27" t="str" cm="1">
        <f t="array" ref="J27">IFERROR(INDEX('Budget Planning'!$C:$C, row_id), "")</f>
        <v>Media</v>
      </c>
      <c r="K27" s="57" cm="1">
        <f t="array" ref="K27">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100</v>
      </c>
      <c r="L27" s="58" cm="1">
        <f t="array" ref="L27">IF(OR(is_header, is_empty), "", INDEX('Budget Planning'!$E:$EM, row_id, MATCH(IF(Selected_Period="Total Year", Selected_Year, DATE(Selected_Year, Selected_Period, 1)), 'Budget Planning'!$E$9:$EM$9, 0)))</f>
        <v>50</v>
      </c>
      <c r="M27" s="54" cm="1">
        <f t="array" ref="M27">IF(is_category, IF(header_row_id=income_header_row, MATCH(income_min_row, $C:$C, 0), IF(header_row_id=expenses_header_row, MATCH(expenses_min_row, $C:$C, 0), IF(header_row_id=savings_header_row, MATCH(savings_min_row, $C:$C, 0),""))), "")</f>
        <v>20</v>
      </c>
      <c r="N27" s="55" cm="1">
        <f t="array" ref="N27">IF(is_category, IF(header_row_id=income_header_row, MATCH(income_max_row, $C:$C, 0), IF(header_row_id=expenses_header_row, MATCH(expenses_max_row, $C:$C, 0), IF(header_row_id=savings_header_row, MATCH(savings_max_row, $C:$C, 0),""))), "")</f>
        <v>28</v>
      </c>
      <c r="O27" s="54" t="str">
        <f t="shared" si="3"/>
        <v>$K$20:$K$28</v>
      </c>
      <c r="P27">
        <f t="shared" ca="1" si="4"/>
        <v>5</v>
      </c>
      <c r="Q27" t="str">
        <f t="shared" si="5"/>
        <v>$L$20:$L$28</v>
      </c>
      <c r="R27" s="55">
        <f t="shared" ca="1" si="6"/>
        <v>9</v>
      </c>
      <c r="S27" s="54">
        <f t="shared" ca="1" si="7"/>
        <v>59</v>
      </c>
      <c r="T27" t="str">
        <f t="shared" si="8"/>
        <v>$S$20:$S$28</v>
      </c>
      <c r="U27">
        <f t="shared" ca="1" si="9"/>
        <v>6</v>
      </c>
      <c r="V27" t="str">
        <f t="shared" si="10"/>
        <v>$U$20:$U$27</v>
      </c>
      <c r="W27" s="55">
        <f t="shared" ca="1" si="11"/>
        <v>6</v>
      </c>
      <c r="X27" s="60">
        <f t="shared" ca="1" si="12"/>
        <v>28</v>
      </c>
      <c r="Y27" s="61" t="str">
        <f t="shared" ca="1" si="13"/>
        <v>Clothing</v>
      </c>
      <c r="Z27" s="63">
        <f t="shared" ca="1" si="14"/>
        <v>60</v>
      </c>
      <c r="AA27" s="63">
        <f t="shared" ca="1" si="15"/>
        <v>200</v>
      </c>
      <c r="AB27" s="62">
        <f t="shared" ca="1" si="16"/>
        <v>0.3</v>
      </c>
      <c r="AC27" s="64">
        <f t="shared" ca="1" si="17"/>
        <v>140</v>
      </c>
      <c r="AD27" s="63">
        <f t="shared" ca="1" si="18"/>
        <v>0</v>
      </c>
    </row>
    <row r="28" spans="3:37" x14ac:dyDescent="0.3">
      <c r="C28" s="54" cm="1">
        <f t="array" ref="C28">IF(C27=-1,-1,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31</v>
      </c>
      <c r="D28" s="55">
        <f t="shared" si="0"/>
        <v>22</v>
      </c>
      <c r="E28" s="54" cm="1">
        <f t="array" ref="E28">1*OR(row_id=income_header_row, row_id=expenses_header_row, row_id=savings_header_row)</f>
        <v>0</v>
      </c>
      <c r="F28">
        <f t="shared" si="1"/>
        <v>1</v>
      </c>
      <c r="G28" cm="1">
        <f t="array" ref="G28">1*OR(row_id=income_total_row, row_id=expenses_total_row, row_id=savings_total_row)</f>
        <v>0</v>
      </c>
      <c r="H28" s="55">
        <f t="shared" si="2"/>
        <v>0</v>
      </c>
      <c r="I28" s="54" t="str" cm="1">
        <f t="array" ref="I28">IFERROR(INDEX('Budget Planning'!$C:$C, header_row_id), "")</f>
        <v>Expenses</v>
      </c>
      <c r="J28" t="str" cm="1">
        <f t="array" ref="J28">IFERROR(INDEX('Budget Planning'!$C:$C, row_id), "")</f>
        <v>Fun &amp; Vacation</v>
      </c>
      <c r="K28" s="57" cm="1">
        <f t="array" ref="K28">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200</v>
      </c>
      <c r="L28" s="58" cm="1">
        <f t="array" ref="L28">IF(OR(is_header, is_empty), "", INDEX('Budget Planning'!$E:$EM, row_id, MATCH(IF(Selected_Period="Total Year", Selected_Year, DATE(Selected_Year, Selected_Period, 1)), 'Budget Planning'!$E$9:$EM$9, 0)))</f>
        <v>300</v>
      </c>
      <c r="M28" s="54" cm="1">
        <f t="array" ref="M28">IF(is_category, IF(header_row_id=income_header_row, MATCH(income_min_row, $C:$C, 0), IF(header_row_id=expenses_header_row, MATCH(expenses_min_row, $C:$C, 0), IF(header_row_id=savings_header_row, MATCH(savings_min_row, $C:$C, 0),""))), "")</f>
        <v>20</v>
      </c>
      <c r="N28" s="55" cm="1">
        <f t="array" ref="N28">IF(is_category, IF(header_row_id=income_header_row, MATCH(income_max_row, $C:$C, 0), IF(header_row_id=expenses_header_row, MATCH(expenses_max_row, $C:$C, 0), IF(header_row_id=savings_header_row, MATCH(savings_max_row, $C:$C, 0),""))), "")</f>
        <v>28</v>
      </c>
      <c r="O28" s="54" t="str">
        <f t="shared" si="3"/>
        <v>$K$20:$K$28</v>
      </c>
      <c r="P28">
        <f t="shared" ca="1" si="4"/>
        <v>3</v>
      </c>
      <c r="Q28" t="str">
        <f t="shared" si="5"/>
        <v>$L$20:$L$28</v>
      </c>
      <c r="R28" s="55">
        <f t="shared" ca="1" si="6"/>
        <v>3</v>
      </c>
      <c r="S28" s="54">
        <f t="shared" ca="1" si="7"/>
        <v>33</v>
      </c>
      <c r="T28" t="str">
        <f t="shared" si="8"/>
        <v>$S$20:$S$28</v>
      </c>
      <c r="U28">
        <f t="shared" ca="1" si="9"/>
        <v>3</v>
      </c>
      <c r="V28" t="str">
        <f t="shared" si="10"/>
        <v>$U$20:$U$28</v>
      </c>
      <c r="W28" s="55">
        <f t="shared" ca="1" si="11"/>
        <v>3</v>
      </c>
      <c r="X28" s="60">
        <f t="shared" ca="1" si="12"/>
        <v>25</v>
      </c>
      <c r="Y28" s="61" t="str">
        <f t="shared" ca="1" si="13"/>
        <v>Groceries</v>
      </c>
      <c r="Z28" s="63">
        <f t="shared" ca="1" si="14"/>
        <v>20</v>
      </c>
      <c r="AA28" s="63">
        <f t="shared" ca="1" si="15"/>
        <v>350</v>
      </c>
      <c r="AB28" s="62">
        <f t="shared" ca="1" si="16"/>
        <v>5.7142857142857141E-2</v>
      </c>
      <c r="AC28" s="64">
        <f t="shared" ca="1" si="17"/>
        <v>330</v>
      </c>
      <c r="AD28" s="63">
        <f t="shared" ca="1" si="18"/>
        <v>0</v>
      </c>
    </row>
    <row r="29" spans="3:37" x14ac:dyDescent="0.3">
      <c r="C29" s="54" cm="1">
        <f t="array" ref="C29">IF(C28=-1,-1,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36</v>
      </c>
      <c r="D29" s="55">
        <f t="shared" si="0"/>
        <v>22</v>
      </c>
      <c r="E29" s="54" cm="1">
        <f t="array" ref="E29">1*OR(row_id=income_header_row, row_id=expenses_header_row, row_id=savings_header_row)</f>
        <v>0</v>
      </c>
      <c r="F29">
        <f t="shared" si="1"/>
        <v>0</v>
      </c>
      <c r="G29" cm="1">
        <f t="array" ref="G29">1*OR(row_id=income_total_row, row_id=expenses_total_row, row_id=savings_total_row)</f>
        <v>1</v>
      </c>
      <c r="H29" s="55">
        <f t="shared" si="2"/>
        <v>0</v>
      </c>
      <c r="I29" s="54" t="str" cm="1">
        <f t="array" ref="I29">IFERROR(INDEX('Budget Planning'!$C:$C, header_row_id), "")</f>
        <v>Expenses</v>
      </c>
      <c r="J29" t="str" cm="1">
        <f t="array" ref="J29">IFERROR(INDEX('Budget Planning'!$C:$C, row_id), "")</f>
        <v>Total</v>
      </c>
      <c r="K29" s="57" cm="1">
        <f t="array" ref="K29">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1480</v>
      </c>
      <c r="L29" s="58" cm="1">
        <f t="array" aca="1" ref="L29" ca="1">IF(OR(is_header, is_empty), "", INDEX('Budget Planning'!$E:$EM, row_id, MATCH(IF(Selected_Period="Total Year", Selected_Year, DATE(Selected_Year, Selected_Period, 1)), 'Budget Planning'!$E$9:$EM$9, 0)))</f>
        <v>3050</v>
      </c>
      <c r="M29" s="54" t="str" cm="1">
        <f t="array" ref="M29">IF(is_category, IF(header_row_id=income_header_row, MATCH(income_min_row, $C:$C, 0), IF(header_row_id=expenses_header_row, MATCH(expenses_min_row, $C:$C, 0), IF(header_row_id=savings_header_row, MATCH(savings_min_row, $C:$C, 0),""))), "")</f>
        <v/>
      </c>
      <c r="N29" s="55" t="str" cm="1">
        <f t="array" ref="N29">IF(is_category, IF(header_row_id=income_header_row, MATCH(income_max_row, $C:$C, 0), IF(header_row_id=expenses_header_row, MATCH(expenses_max_row, $C:$C, 0), IF(header_row_id=savings_header_row, MATCH(savings_max_row, $C:$C, 0),""))), "")</f>
        <v/>
      </c>
      <c r="O29" s="54" t="str">
        <f t="shared" si="3"/>
        <v/>
      </c>
      <c r="P29" t="str">
        <f t="shared" ca="1" si="4"/>
        <v/>
      </c>
      <c r="Q29" t="str">
        <f t="shared" si="5"/>
        <v/>
      </c>
      <c r="R29" s="55" t="str">
        <f t="shared" ca="1" si="6"/>
        <v/>
      </c>
      <c r="S29" s="54" t="str">
        <f t="shared" si="7"/>
        <v/>
      </c>
      <c r="T29" t="str">
        <f t="shared" si="8"/>
        <v/>
      </c>
      <c r="U29" t="str">
        <f t="shared" ca="1" si="9"/>
        <v/>
      </c>
      <c r="V29" t="str">
        <f t="shared" si="10"/>
        <v/>
      </c>
      <c r="W29" s="55" t="str">
        <f t="shared" ca="1" si="11"/>
        <v/>
      </c>
      <c r="X29" s="60">
        <f t="shared" si="12"/>
        <v>36</v>
      </c>
      <c r="Y29" s="61" t="str">
        <f t="shared" ca="1" si="13"/>
        <v>Total</v>
      </c>
      <c r="Z29" s="63">
        <f t="shared" ca="1" si="14"/>
        <v>1480</v>
      </c>
      <c r="AA29" s="63">
        <f t="shared" ca="1" si="15"/>
        <v>3050</v>
      </c>
      <c r="AB29" s="62">
        <f t="shared" ca="1" si="16"/>
        <v>0.48524590163934428</v>
      </c>
      <c r="AC29" s="64">
        <f t="shared" ca="1" si="17"/>
        <v>1570</v>
      </c>
      <c r="AD29" s="63">
        <f t="shared" ca="1" si="18"/>
        <v>0</v>
      </c>
    </row>
    <row r="30" spans="3:37" x14ac:dyDescent="0.3">
      <c r="C30" s="54" t="str" cm="1">
        <f t="array" ref="C30">IF(C29=-1,-1,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/2</v>
      </c>
      <c r="D30" s="55">
        <f t="shared" si="0"/>
        <v>-1</v>
      </c>
      <c r="E30" s="54" cm="1">
        <f t="array" ref="E30">1*OR(row_id=income_header_row, row_id=expenses_header_row, row_id=savings_header_row)</f>
        <v>0</v>
      </c>
      <c r="F30">
        <f t="shared" si="1"/>
        <v>0</v>
      </c>
      <c r="G30" cm="1">
        <f t="array" ref="G30">1*OR(row_id=income_total_row, row_id=expenses_total_row, row_id=savings_total_row)</f>
        <v>0</v>
      </c>
      <c r="H30" s="55">
        <f t="shared" si="2"/>
        <v>1</v>
      </c>
      <c r="I30" s="54" t="str" cm="1">
        <f t="array" ref="I30">IFERROR(INDEX('Budget Planning'!$C:$C, header_row_id), "")</f>
        <v/>
      </c>
      <c r="J30" t="str" cm="1">
        <f t="array" ref="J30">IFERROR(INDEX('Budget Planning'!$C:$C, row_id), "")</f>
        <v/>
      </c>
      <c r="K30" s="57" t="str" cm="1">
        <f t="array" ref="K30">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30" s="58" t="str" cm="1">
        <f t="array" ref="L30">IF(OR(is_header, is_empty), "", INDEX('Budget Planning'!$E:$EM, row_id, MATCH(IF(Selected_Period="Total Year", Selected_Year, DATE(Selected_Year, Selected_Period, 1)), 'Budget Planning'!$E$9:$EM$9, 0)))</f>
        <v/>
      </c>
      <c r="M30" s="54" t="str" cm="1">
        <f t="array" ref="M30">IF(is_category, IF(header_row_id=income_header_row, MATCH(income_min_row, $C:$C, 0), IF(header_row_id=expenses_header_row, MATCH(expenses_min_row, $C:$C, 0), IF(header_row_id=savings_header_row, MATCH(savings_min_row, $C:$C, 0),""))), "")</f>
        <v/>
      </c>
      <c r="N30" s="55" t="str" cm="1">
        <f t="array" ref="N30">IF(is_category, IF(header_row_id=income_header_row, MATCH(income_max_row, $C:$C, 0), IF(header_row_id=expenses_header_row, MATCH(expenses_max_row, $C:$C, 0), IF(header_row_id=savings_header_row, MATCH(savings_max_row, $C:$C, 0),""))), "")</f>
        <v/>
      </c>
      <c r="O30" s="54" t="str">
        <f t="shared" si="3"/>
        <v/>
      </c>
      <c r="P30" t="str">
        <f t="shared" ca="1" si="4"/>
        <v/>
      </c>
      <c r="Q30" t="str">
        <f t="shared" si="5"/>
        <v/>
      </c>
      <c r="R30" s="55" t="str">
        <f t="shared" ca="1" si="6"/>
        <v/>
      </c>
      <c r="S30" s="54" t="str">
        <f t="shared" si="7"/>
        <v/>
      </c>
      <c r="T30" t="str">
        <f t="shared" si="8"/>
        <v/>
      </c>
      <c r="U30" t="str">
        <f t="shared" ca="1" si="9"/>
        <v/>
      </c>
      <c r="V30" t="str">
        <f t="shared" si="10"/>
        <v/>
      </c>
      <c r="W30" s="55" t="str">
        <f t="shared" ca="1" si="11"/>
        <v/>
      </c>
      <c r="X30" s="60" t="str">
        <f t="shared" si="12"/>
        <v>/2</v>
      </c>
      <c r="Y30" s="61" t="str">
        <f t="shared" si="13"/>
        <v/>
      </c>
      <c r="Z30" s="63" t="str">
        <f t="shared" si="14"/>
        <v/>
      </c>
      <c r="AA30" s="63" t="str">
        <f t="shared" si="15"/>
        <v/>
      </c>
      <c r="AB30" s="62" t="str">
        <f t="shared" si="16"/>
        <v/>
      </c>
      <c r="AC30" s="64" t="str">
        <f t="shared" si="17"/>
        <v/>
      </c>
      <c r="AD30" s="63" t="str">
        <f t="shared" si="18"/>
        <v/>
      </c>
    </row>
    <row r="31" spans="3:37" x14ac:dyDescent="0.3">
      <c r="C31" s="54" cm="1">
        <f t="array" ref="C31">IF(C30=-1,-1,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38</v>
      </c>
      <c r="D31" s="55">
        <f t="shared" si="0"/>
        <v>38</v>
      </c>
      <c r="E31" s="54" cm="1">
        <f t="array" ref="E31">1*OR(row_id=income_header_row, row_id=expenses_header_row, row_id=savings_header_row)</f>
        <v>1</v>
      </c>
      <c r="F31">
        <f t="shared" si="1"/>
        <v>0</v>
      </c>
      <c r="G31" cm="1">
        <f t="array" ref="G31">1*OR(row_id=income_total_row, row_id=expenses_total_row, row_id=savings_total_row)</f>
        <v>0</v>
      </c>
      <c r="H31" s="55">
        <f t="shared" si="2"/>
        <v>0</v>
      </c>
      <c r="I31" s="54" t="str" cm="1">
        <f t="array" ref="I31">IFERROR(INDEX('Budget Planning'!$C:$C, header_row_id), "")</f>
        <v>Savings</v>
      </c>
      <c r="J31" t="str" cm="1">
        <f t="array" ref="J31">IFERROR(INDEX('Budget Planning'!$C:$C, row_id), "")</f>
        <v>Savings</v>
      </c>
      <c r="K31" s="57" t="str" cm="1">
        <f t="array" ref="K31">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31" s="58" t="str" cm="1">
        <f t="array" ref="L31">IF(OR(is_header, is_empty), "", INDEX('Budget Planning'!$E:$EM, row_id, MATCH(IF(Selected_Period="Total Year", Selected_Year, DATE(Selected_Year, Selected_Period, 1)), 'Budget Planning'!$E$9:$EM$9, 0)))</f>
        <v/>
      </c>
      <c r="M31" s="54" t="str" cm="1">
        <f t="array" ref="M31">IF(is_category, IF(header_row_id=income_header_row, MATCH(income_min_row, $C:$C, 0), IF(header_row_id=expenses_header_row, MATCH(expenses_min_row, $C:$C, 0), IF(header_row_id=savings_header_row, MATCH(savings_min_row, $C:$C, 0),""))), "")</f>
        <v/>
      </c>
      <c r="N31" s="55" t="str" cm="1">
        <f t="array" ref="N31">IF(is_category, IF(header_row_id=income_header_row, MATCH(income_max_row, $C:$C, 0), IF(header_row_id=expenses_header_row, MATCH(expenses_max_row, $C:$C, 0), IF(header_row_id=savings_header_row, MATCH(savings_max_row, $C:$C, 0),""))), "")</f>
        <v/>
      </c>
      <c r="O31" s="54" t="str">
        <f t="shared" si="3"/>
        <v/>
      </c>
      <c r="P31" t="str">
        <f t="shared" ca="1" si="4"/>
        <v/>
      </c>
      <c r="Q31" t="str">
        <f t="shared" si="5"/>
        <v/>
      </c>
      <c r="R31" s="55" t="str">
        <f t="shared" ca="1" si="6"/>
        <v/>
      </c>
      <c r="S31" s="54" t="str">
        <f t="shared" si="7"/>
        <v/>
      </c>
      <c r="T31" t="str">
        <f t="shared" si="8"/>
        <v/>
      </c>
      <c r="U31" t="str">
        <f t="shared" ca="1" si="9"/>
        <v/>
      </c>
      <c r="V31" t="str">
        <f t="shared" si="10"/>
        <v/>
      </c>
      <c r="W31" s="55" t="str">
        <f t="shared" ca="1" si="11"/>
        <v/>
      </c>
      <c r="X31" s="60">
        <f t="shared" si="12"/>
        <v>38</v>
      </c>
      <c r="Y31" s="61" t="str">
        <f t="shared" ca="1" si="13"/>
        <v>Savings</v>
      </c>
      <c r="Z31" s="63" t="str">
        <f t="shared" si="14"/>
        <v>Tracked</v>
      </c>
      <c r="AA31" s="63" t="str">
        <f t="shared" si="15"/>
        <v>Budget</v>
      </c>
      <c r="AB31" s="62" t="str">
        <f t="shared" si="16"/>
        <v>% Compl.</v>
      </c>
      <c r="AC31" s="64" t="str">
        <f t="shared" si="17"/>
        <v>Remaining</v>
      </c>
      <c r="AD31" s="63" t="str">
        <f t="shared" si="18"/>
        <v>Excess</v>
      </c>
    </row>
    <row r="32" spans="3:37" x14ac:dyDescent="0.3">
      <c r="C32" s="54" cm="1">
        <f t="array" ref="C32">IF(C31=-1,-1,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39</v>
      </c>
      <c r="D32" s="55">
        <f t="shared" si="0"/>
        <v>38</v>
      </c>
      <c r="E32" s="54" cm="1">
        <f t="array" ref="E32">1*OR(row_id=income_header_row, row_id=expenses_header_row, row_id=savings_header_row)</f>
        <v>0</v>
      </c>
      <c r="F32">
        <f t="shared" si="1"/>
        <v>1</v>
      </c>
      <c r="G32" cm="1">
        <f t="array" ref="G32">1*OR(row_id=income_total_row, row_id=expenses_total_row, row_id=savings_total_row)</f>
        <v>0</v>
      </c>
      <c r="H32" s="55">
        <f t="shared" si="2"/>
        <v>0</v>
      </c>
      <c r="I32" s="54" t="str" cm="1">
        <f t="array" ref="I32">IFERROR(INDEX('Budget Planning'!$C:$C, header_row_id), "")</f>
        <v>Savings</v>
      </c>
      <c r="J32" t="str" cm="1">
        <f t="array" ref="J32">IFERROR(INDEX('Budget Planning'!$C:$C, row_id), "")</f>
        <v>Emergency Fund</v>
      </c>
      <c r="K32" s="57" cm="1">
        <f t="array" ref="K32">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0</v>
      </c>
      <c r="L32" s="58" cm="1">
        <f t="array" ref="L32">IF(OR(is_header, is_empty), "", INDEX('Budget Planning'!$E:$EM, row_id, MATCH(IF(Selected_Period="Total Year", Selected_Year, DATE(Selected_Year, Selected_Period, 1)), 'Budget Planning'!$E$9:$EM$9, 0)))</f>
        <v>1000</v>
      </c>
      <c r="M32" s="54" cm="1">
        <f t="array" ref="M32">IF(is_category, IF(header_row_id=income_header_row, MATCH(income_min_row, $C:$C, 0), IF(header_row_id=expenses_header_row, MATCH(expenses_min_row, $C:$C, 0), IF(header_row_id=savings_header_row, MATCH(savings_min_row, $C:$C, 0),""))), "")</f>
        <v>32</v>
      </c>
      <c r="N32" s="55" cm="1">
        <f t="array" ref="N32">IF(is_category, IF(header_row_id=income_header_row, MATCH(income_max_row, $C:$C, 0), IF(header_row_id=expenses_header_row, MATCH(expenses_max_row, $C:$C, 0), IF(header_row_id=savings_header_row, MATCH(savings_max_row, $C:$C, 0),""))), "")</f>
        <v>36</v>
      </c>
      <c r="O32" s="54" t="str">
        <f t="shared" si="3"/>
        <v>$K$32:$K$36</v>
      </c>
      <c r="P32">
        <f t="shared" ca="1" si="4"/>
        <v>2</v>
      </c>
      <c r="Q32" t="str">
        <f t="shared" si="5"/>
        <v>$L$32:$L$36</v>
      </c>
      <c r="R32" s="55">
        <f t="shared" ca="1" si="6"/>
        <v>1</v>
      </c>
      <c r="S32" s="54">
        <f t="shared" ca="1" si="7"/>
        <v>21</v>
      </c>
      <c r="T32" t="str">
        <f t="shared" si="8"/>
        <v>$S$32:$S$36</v>
      </c>
      <c r="U32">
        <f t="shared" ca="1" si="9"/>
        <v>2</v>
      </c>
      <c r="V32" t="str">
        <f t="shared" si="10"/>
        <v>$U$32:$U$32</v>
      </c>
      <c r="W32" s="55">
        <f t="shared" ca="1" si="11"/>
        <v>2</v>
      </c>
      <c r="X32" s="60">
        <f t="shared" ca="1" si="12"/>
        <v>40</v>
      </c>
      <c r="Y32" s="61" t="str">
        <f t="shared" ca="1" si="13"/>
        <v>Stock Portfolio</v>
      </c>
      <c r="Z32" s="63">
        <f t="shared" ca="1" si="14"/>
        <v>4000</v>
      </c>
      <c r="AA32" s="63">
        <f t="shared" ca="1" si="15"/>
        <v>150</v>
      </c>
      <c r="AB32" s="62">
        <f t="shared" ca="1" si="16"/>
        <v>26.666666666666668</v>
      </c>
      <c r="AC32" s="64">
        <f t="shared" ca="1" si="17"/>
        <v>0</v>
      </c>
      <c r="AD32" s="63">
        <f t="shared" ca="1" si="18"/>
        <v>3850</v>
      </c>
    </row>
    <row r="33" spans="3:30" x14ac:dyDescent="0.3">
      <c r="C33" s="54" cm="1">
        <f t="array" ref="C33">IF(C32=-1,-1,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40</v>
      </c>
      <c r="D33" s="55">
        <f t="shared" si="0"/>
        <v>38</v>
      </c>
      <c r="E33" s="54" cm="1">
        <f t="array" ref="E33">1*OR(row_id=income_header_row, row_id=expenses_header_row, row_id=savings_header_row)</f>
        <v>0</v>
      </c>
      <c r="F33">
        <f t="shared" si="1"/>
        <v>1</v>
      </c>
      <c r="G33" cm="1">
        <f t="array" ref="G33">1*OR(row_id=income_total_row, row_id=expenses_total_row, row_id=savings_total_row)</f>
        <v>0</v>
      </c>
      <c r="H33" s="55">
        <f t="shared" si="2"/>
        <v>0</v>
      </c>
      <c r="I33" s="54" t="str" cm="1">
        <f t="array" ref="I33">IFERROR(INDEX('Budget Planning'!$C:$C, header_row_id), "")</f>
        <v>Savings</v>
      </c>
      <c r="J33" t="str" cm="1">
        <f t="array" ref="J33">IFERROR(INDEX('Budget Planning'!$C:$C, row_id), "")</f>
        <v>Retirement Account</v>
      </c>
      <c r="K33" s="57" cm="1">
        <f t="array" ref="K33">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0</v>
      </c>
      <c r="L33" s="58" cm="1">
        <f t="array" ref="L33">IF(OR(is_header, is_empty), "", INDEX('Budget Planning'!$E:$EM, row_id, MATCH(IF(Selected_Period="Total Year", Selected_Year, DATE(Selected_Year, Selected_Period, 1)), 'Budget Planning'!$E$9:$EM$9, 0)))</f>
        <v>400</v>
      </c>
      <c r="M33" s="54" cm="1">
        <f t="array" ref="M33">IF(is_category, IF(header_row_id=income_header_row, MATCH(income_min_row, $C:$C, 0), IF(header_row_id=expenses_header_row, MATCH(expenses_min_row, $C:$C, 0), IF(header_row_id=savings_header_row, MATCH(savings_min_row, $C:$C, 0),""))), "")</f>
        <v>32</v>
      </c>
      <c r="N33" s="55" cm="1">
        <f t="array" ref="N33">IF(is_category, IF(header_row_id=income_header_row, MATCH(income_max_row, $C:$C, 0), IF(header_row_id=expenses_header_row, MATCH(expenses_max_row, $C:$C, 0), IF(header_row_id=savings_header_row, MATCH(savings_max_row, $C:$C, 0),""))), "")</f>
        <v>36</v>
      </c>
      <c r="O33" s="54" t="str">
        <f t="shared" si="3"/>
        <v>$K$32:$K$36</v>
      </c>
      <c r="P33">
        <f t="shared" ca="1" si="4"/>
        <v>2</v>
      </c>
      <c r="Q33" t="str">
        <f t="shared" si="5"/>
        <v>$L$32:$L$36</v>
      </c>
      <c r="R33" s="55">
        <f t="shared" ca="1" si="6"/>
        <v>2</v>
      </c>
      <c r="S33" s="54">
        <f t="shared" ca="1" si="7"/>
        <v>22</v>
      </c>
      <c r="T33" t="str">
        <f t="shared" si="8"/>
        <v>$S$32:$S$36</v>
      </c>
      <c r="U33">
        <f t="shared" ca="1" si="9"/>
        <v>3</v>
      </c>
      <c r="V33" t="str">
        <f t="shared" si="10"/>
        <v>$U$32:$U$33</v>
      </c>
      <c r="W33" s="55">
        <f t="shared" ca="1" si="11"/>
        <v>3</v>
      </c>
      <c r="X33" s="60">
        <f t="shared" ca="1" si="12"/>
        <v>41</v>
      </c>
      <c r="Y33" s="61" t="str">
        <f t="shared" ca="1" si="13"/>
        <v>Emergency Fund</v>
      </c>
      <c r="Z33" s="63">
        <f t="shared" ca="1" si="14"/>
        <v>0</v>
      </c>
      <c r="AA33" s="63">
        <f t="shared" ca="1" si="15"/>
        <v>1000</v>
      </c>
      <c r="AB33" s="62">
        <f t="shared" ca="1" si="16"/>
        <v>0</v>
      </c>
      <c r="AC33" s="64">
        <f t="shared" ca="1" si="17"/>
        <v>1000</v>
      </c>
      <c r="AD33" s="63">
        <f t="shared" ca="1" si="18"/>
        <v>0</v>
      </c>
    </row>
    <row r="34" spans="3:30" x14ac:dyDescent="0.3">
      <c r="C34" s="54" cm="1">
        <f t="array" ref="C34">IF(C33=-1,-1,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41</v>
      </c>
      <c r="D34" s="55">
        <f t="shared" si="0"/>
        <v>38</v>
      </c>
      <c r="E34" s="54" cm="1">
        <f t="array" ref="E34">1*OR(row_id=income_header_row, row_id=expenses_header_row, row_id=savings_header_row)</f>
        <v>0</v>
      </c>
      <c r="F34">
        <f t="shared" si="1"/>
        <v>1</v>
      </c>
      <c r="G34" cm="1">
        <f t="array" ref="G34">1*OR(row_id=income_total_row, row_id=expenses_total_row, row_id=savings_total_row)</f>
        <v>0</v>
      </c>
      <c r="H34" s="55">
        <f t="shared" si="2"/>
        <v>0</v>
      </c>
      <c r="I34" s="54" t="str" cm="1">
        <f t="array" ref="I34">IFERROR(INDEX('Budget Planning'!$C:$C, header_row_id), "")</f>
        <v>Savings</v>
      </c>
      <c r="J34" t="str" cm="1">
        <f t="array" ref="J34">IFERROR(INDEX('Budget Planning'!$C:$C, row_id), "")</f>
        <v>Stock Portfolio</v>
      </c>
      <c r="K34" s="57" cm="1">
        <f t="array" ref="K34">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4000</v>
      </c>
      <c r="L34" s="58" cm="1">
        <f t="array" ref="L34">IF(OR(is_header, is_empty), "", INDEX('Budget Planning'!$E:$EM, row_id, MATCH(IF(Selected_Period="Total Year", Selected_Year, DATE(Selected_Year, Selected_Period, 1)), 'Budget Planning'!$E$9:$EM$9, 0)))</f>
        <v>150</v>
      </c>
      <c r="M34" s="54" cm="1">
        <f t="array" ref="M34">IF(is_category, IF(header_row_id=income_header_row, MATCH(income_min_row, $C:$C, 0), IF(header_row_id=expenses_header_row, MATCH(expenses_min_row, $C:$C, 0), IF(header_row_id=savings_header_row, MATCH(savings_min_row, $C:$C, 0),""))), "")</f>
        <v>32</v>
      </c>
      <c r="N34" s="55" cm="1">
        <f t="array" ref="N34">IF(is_category, IF(header_row_id=income_header_row, MATCH(income_max_row, $C:$C, 0), IF(header_row_id=expenses_header_row, MATCH(expenses_max_row, $C:$C, 0), IF(header_row_id=savings_header_row, MATCH(savings_max_row, $C:$C, 0),""))), "")</f>
        <v>36</v>
      </c>
      <c r="O34" s="54" t="str">
        <f t="shared" si="3"/>
        <v>$K$32:$K$36</v>
      </c>
      <c r="P34">
        <f t="shared" ca="1" si="4"/>
        <v>1</v>
      </c>
      <c r="Q34" t="str">
        <f t="shared" si="5"/>
        <v>$L$32:$L$36</v>
      </c>
      <c r="R34" s="55">
        <f t="shared" ca="1" si="6"/>
        <v>3</v>
      </c>
      <c r="S34" s="54">
        <f t="shared" ca="1" si="7"/>
        <v>13</v>
      </c>
      <c r="T34" t="str">
        <f t="shared" si="8"/>
        <v>$S$32:$S$36</v>
      </c>
      <c r="U34">
        <f t="shared" ca="1" si="9"/>
        <v>1</v>
      </c>
      <c r="V34" t="str">
        <f t="shared" si="10"/>
        <v>$U$32:$U$34</v>
      </c>
      <c r="W34" s="55">
        <f t="shared" ca="1" si="11"/>
        <v>1</v>
      </c>
      <c r="X34" s="60">
        <f t="shared" ca="1" si="12"/>
        <v>39</v>
      </c>
      <c r="Y34" s="61" t="str">
        <f t="shared" ca="1" si="13"/>
        <v>Retirement Account</v>
      </c>
      <c r="Z34" s="63">
        <f t="shared" ca="1" si="14"/>
        <v>0</v>
      </c>
      <c r="AA34" s="63">
        <f t="shared" ca="1" si="15"/>
        <v>400</v>
      </c>
      <c r="AB34" s="62">
        <f t="shared" ca="1" si="16"/>
        <v>0</v>
      </c>
      <c r="AC34" s="64">
        <f t="shared" ca="1" si="17"/>
        <v>400</v>
      </c>
      <c r="AD34" s="63">
        <f t="shared" ca="1" si="18"/>
        <v>0</v>
      </c>
    </row>
    <row r="35" spans="3:30" x14ac:dyDescent="0.3">
      <c r="C35" s="54" cm="1">
        <f t="array" ref="C35">IF(C34=-1,-1,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42</v>
      </c>
      <c r="D35" s="55">
        <f t="shared" si="0"/>
        <v>38</v>
      </c>
      <c r="E35" s="54" cm="1">
        <f t="array" ref="E35">1*OR(row_id=income_header_row, row_id=expenses_header_row, row_id=savings_header_row)</f>
        <v>0</v>
      </c>
      <c r="F35">
        <f t="shared" si="1"/>
        <v>1</v>
      </c>
      <c r="G35" cm="1">
        <f t="array" ref="G35">1*OR(row_id=income_total_row, row_id=expenses_total_row, row_id=savings_total_row)</f>
        <v>0</v>
      </c>
      <c r="H35" s="55">
        <f t="shared" si="2"/>
        <v>0</v>
      </c>
      <c r="I35" s="54" t="str" cm="1">
        <f t="array" ref="I35">IFERROR(INDEX('Budget Planning'!$C:$C, header_row_id), "")</f>
        <v>Savings</v>
      </c>
      <c r="J35" t="str" cm="1">
        <f t="array" ref="J35">IFERROR(INDEX('Budget Planning'!$C:$C, row_id), "")</f>
        <v>Sinking Fund Down Payment</v>
      </c>
      <c r="K35" s="57" cm="1">
        <f t="array" ref="K35">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0</v>
      </c>
      <c r="L35" s="58" cm="1">
        <f t="array" ref="L35">IF(OR(is_header, is_empty), "", INDEX('Budget Planning'!$E:$EM, row_id, MATCH(IF(Selected_Period="Total Year", Selected_Year, DATE(Selected_Year, Selected_Period, 1)), 'Budget Planning'!$E$9:$EM$9, 0)))</f>
        <v>0</v>
      </c>
      <c r="M35" s="54" cm="1">
        <f t="array" ref="M35">IF(is_category, IF(header_row_id=income_header_row, MATCH(income_min_row, $C:$C, 0), IF(header_row_id=expenses_header_row, MATCH(expenses_min_row, $C:$C, 0), IF(header_row_id=savings_header_row, MATCH(savings_min_row, $C:$C, 0),""))), "")</f>
        <v>32</v>
      </c>
      <c r="N35" s="55" cm="1">
        <f t="array" ref="N35">IF(is_category, IF(header_row_id=income_header_row, MATCH(income_max_row, $C:$C, 0), IF(header_row_id=expenses_header_row, MATCH(expenses_max_row, $C:$C, 0), IF(header_row_id=savings_header_row, MATCH(savings_max_row, $C:$C, 0),""))), "")</f>
        <v>36</v>
      </c>
      <c r="O35" s="54" t="str">
        <f t="shared" si="3"/>
        <v>$K$32:$K$36</v>
      </c>
      <c r="P35">
        <f t="shared" ca="1" si="4"/>
        <v>2</v>
      </c>
      <c r="Q35" t="str">
        <f t="shared" si="5"/>
        <v>$L$32:$L$36</v>
      </c>
      <c r="R35" s="55">
        <f t="shared" ca="1" si="6"/>
        <v>4</v>
      </c>
      <c r="S35" s="54">
        <f t="shared" ca="1" si="7"/>
        <v>24</v>
      </c>
      <c r="T35" t="str">
        <f t="shared" si="8"/>
        <v>$S$32:$S$36</v>
      </c>
      <c r="U35">
        <f t="shared" ca="1" si="9"/>
        <v>4</v>
      </c>
      <c r="V35" t="str">
        <f t="shared" si="10"/>
        <v>$U$32:$U$35</v>
      </c>
      <c r="W35" s="55">
        <f t="shared" ca="1" si="11"/>
        <v>4</v>
      </c>
      <c r="X35" s="60">
        <f t="shared" ca="1" si="12"/>
        <v>42</v>
      </c>
      <c r="Y35" s="61" t="str">
        <f t="shared" ca="1" si="13"/>
        <v>Sinking Fund Down Payment</v>
      </c>
      <c r="Z35" s="63">
        <f t="shared" ca="1" si="14"/>
        <v>0</v>
      </c>
      <c r="AA35" s="63">
        <f t="shared" ca="1" si="15"/>
        <v>0</v>
      </c>
      <c r="AB35" s="62" t="str">
        <f t="shared" ca="1" si="16"/>
        <v>-</v>
      </c>
      <c r="AC35" s="64">
        <f t="shared" ca="1" si="17"/>
        <v>0</v>
      </c>
      <c r="AD35" s="63">
        <f t="shared" ca="1" si="18"/>
        <v>0</v>
      </c>
    </row>
    <row r="36" spans="3:30" x14ac:dyDescent="0.3">
      <c r="C36" s="54" cm="1">
        <f t="array" ref="C36">IF(C35=-1,-1,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43</v>
      </c>
      <c r="D36" s="55">
        <f t="shared" si="0"/>
        <v>38</v>
      </c>
      <c r="E36" s="54" cm="1">
        <f t="array" ref="E36">1*OR(row_id=income_header_row, row_id=expenses_header_row, row_id=savings_header_row)</f>
        <v>0</v>
      </c>
      <c r="F36">
        <f t="shared" si="1"/>
        <v>1</v>
      </c>
      <c r="G36" cm="1">
        <f t="array" ref="G36">1*OR(row_id=income_total_row, row_id=expenses_total_row, row_id=savings_total_row)</f>
        <v>0</v>
      </c>
      <c r="H36" s="55">
        <f t="shared" si="2"/>
        <v>0</v>
      </c>
      <c r="I36" s="54" t="str" cm="1">
        <f t="array" ref="I36">IFERROR(INDEX('Budget Planning'!$C:$C, header_row_id), "")</f>
        <v>Savings</v>
      </c>
      <c r="J36" t="str" cm="1">
        <f t="array" ref="J36">IFERROR(INDEX('Budget Planning'!$C:$C, row_id), "")</f>
        <v>Sinking Fund Rest</v>
      </c>
      <c r="K36" s="57" cm="1">
        <f t="array" ref="K36">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0</v>
      </c>
      <c r="L36" s="58" cm="1">
        <f t="array" ref="L36">IF(OR(is_header, is_empty), "", INDEX('Budget Planning'!$E:$EM, row_id, MATCH(IF(Selected_Period="Total Year", Selected_Year, DATE(Selected_Year, Selected_Period, 1)), 'Budget Planning'!$E$9:$EM$9, 0)))</f>
        <v>0</v>
      </c>
      <c r="M36" s="54" cm="1">
        <f t="array" ref="M36">IF(is_category, IF(header_row_id=income_header_row, MATCH(income_min_row, $C:$C, 0), IF(header_row_id=expenses_header_row, MATCH(expenses_min_row, $C:$C, 0), IF(header_row_id=savings_header_row, MATCH(savings_min_row, $C:$C, 0),""))), "")</f>
        <v>32</v>
      </c>
      <c r="N36" s="55" cm="1">
        <f t="array" ref="N36">IF(is_category, IF(header_row_id=income_header_row, MATCH(income_max_row, $C:$C, 0), IF(header_row_id=expenses_header_row, MATCH(expenses_max_row, $C:$C, 0), IF(header_row_id=savings_header_row, MATCH(savings_max_row, $C:$C, 0),""))), "")</f>
        <v>36</v>
      </c>
      <c r="O36" s="54" t="str">
        <f t="shared" si="3"/>
        <v>$K$32:$K$36</v>
      </c>
      <c r="P36">
        <f t="shared" ca="1" si="4"/>
        <v>2</v>
      </c>
      <c r="Q36" t="str">
        <f t="shared" si="5"/>
        <v>$L$32:$L$36</v>
      </c>
      <c r="R36" s="55">
        <f t="shared" ca="1" si="6"/>
        <v>4</v>
      </c>
      <c r="S36" s="54">
        <f t="shared" ca="1" si="7"/>
        <v>24</v>
      </c>
      <c r="T36" t="str">
        <f t="shared" si="8"/>
        <v>$S$32:$S$36</v>
      </c>
      <c r="U36">
        <f t="shared" ca="1" si="9"/>
        <v>4</v>
      </c>
      <c r="V36" t="str">
        <f t="shared" si="10"/>
        <v>$U$32:$U$36</v>
      </c>
      <c r="W36" s="55">
        <f t="shared" ca="1" si="11"/>
        <v>5</v>
      </c>
      <c r="X36" s="60">
        <f t="shared" ca="1" si="12"/>
        <v>43</v>
      </c>
      <c r="Y36" s="61" t="str">
        <f t="shared" ca="1" si="13"/>
        <v>Sinking Fund Rest</v>
      </c>
      <c r="Z36" s="63">
        <f t="shared" ca="1" si="14"/>
        <v>0</v>
      </c>
      <c r="AA36" s="63">
        <f t="shared" ca="1" si="15"/>
        <v>0</v>
      </c>
      <c r="AB36" s="62" t="str">
        <f t="shared" ca="1" si="16"/>
        <v>-</v>
      </c>
      <c r="AC36" s="64">
        <f t="shared" ca="1" si="17"/>
        <v>0</v>
      </c>
      <c r="AD36" s="63">
        <f t="shared" ca="1" si="18"/>
        <v>0</v>
      </c>
    </row>
    <row r="37" spans="3:30" x14ac:dyDescent="0.3">
      <c r="C37" s="54" cm="1">
        <f t="array" ref="C37">IF(C36=-1,-1,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49</v>
      </c>
      <c r="D37" s="55">
        <f t="shared" si="0"/>
        <v>38</v>
      </c>
      <c r="E37" s="54" cm="1">
        <f t="array" ref="E37">1*OR(row_id=income_header_row, row_id=expenses_header_row, row_id=savings_header_row)</f>
        <v>0</v>
      </c>
      <c r="F37">
        <f t="shared" si="1"/>
        <v>0</v>
      </c>
      <c r="G37" cm="1">
        <f t="array" ref="G37">1*OR(row_id=income_total_row, row_id=expenses_total_row, row_id=savings_total_row)</f>
        <v>1</v>
      </c>
      <c r="H37" s="55">
        <f t="shared" si="2"/>
        <v>0</v>
      </c>
      <c r="I37" s="54" t="str" cm="1">
        <f t="array" ref="I37">IFERROR(INDEX('Budget Planning'!$C:$C, header_row_id), "")</f>
        <v>Savings</v>
      </c>
      <c r="J37" t="str" cm="1">
        <f t="array" ref="J37">IFERROR(INDEX('Budget Planning'!$C:$C, row_id), "")</f>
        <v>Total</v>
      </c>
      <c r="K37" s="57" cm="1">
        <f t="array" ref="K37">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4000</v>
      </c>
      <c r="L37" s="58" cm="1">
        <f t="array" aca="1" ref="L37" ca="1">IF(OR(is_header, is_empty), "", INDEX('Budget Planning'!$E:$EM, row_id, MATCH(IF(Selected_Period="Total Year", Selected_Year, DATE(Selected_Year, Selected_Period, 1)), 'Budget Planning'!$E$9:$EM$9, 0)))</f>
        <v>1550</v>
      </c>
      <c r="M37" s="54" t="str" cm="1">
        <f t="array" ref="M37">IF(is_category, IF(header_row_id=income_header_row, MATCH(income_min_row, $C:$C, 0), IF(header_row_id=expenses_header_row, MATCH(expenses_min_row, $C:$C, 0), IF(header_row_id=savings_header_row, MATCH(savings_min_row, $C:$C, 0),""))), "")</f>
        <v/>
      </c>
      <c r="N37" s="55" t="str" cm="1">
        <f t="array" ref="N37">IF(is_category, IF(header_row_id=income_header_row, MATCH(income_max_row, $C:$C, 0), IF(header_row_id=expenses_header_row, MATCH(expenses_max_row, $C:$C, 0), IF(header_row_id=savings_header_row, MATCH(savings_max_row, $C:$C, 0),""))), "")</f>
        <v/>
      </c>
      <c r="O37" s="54" t="str">
        <f t="shared" si="3"/>
        <v/>
      </c>
      <c r="P37" t="str">
        <f t="shared" ca="1" si="4"/>
        <v/>
      </c>
      <c r="Q37" t="str">
        <f t="shared" si="5"/>
        <v/>
      </c>
      <c r="R37" s="55" t="str">
        <f t="shared" ca="1" si="6"/>
        <v/>
      </c>
      <c r="S37" s="54" t="str">
        <f t="shared" si="7"/>
        <v/>
      </c>
      <c r="T37" t="str">
        <f t="shared" si="8"/>
        <v/>
      </c>
      <c r="U37" t="str">
        <f t="shared" ca="1" si="9"/>
        <v/>
      </c>
      <c r="V37" t="str">
        <f t="shared" si="10"/>
        <v/>
      </c>
      <c r="W37" s="55" t="str">
        <f t="shared" ca="1" si="11"/>
        <v/>
      </c>
      <c r="X37" s="60">
        <f t="shared" si="12"/>
        <v>49</v>
      </c>
      <c r="Y37" s="61" t="str">
        <f t="shared" ca="1" si="13"/>
        <v>Total</v>
      </c>
      <c r="Z37" s="63">
        <f t="shared" ca="1" si="14"/>
        <v>4000</v>
      </c>
      <c r="AA37" s="63">
        <f t="shared" ca="1" si="15"/>
        <v>1550</v>
      </c>
      <c r="AB37" s="62">
        <f t="shared" ca="1" si="16"/>
        <v>2.5806451612903225</v>
      </c>
      <c r="AC37" s="64">
        <f t="shared" ca="1" si="17"/>
        <v>0</v>
      </c>
      <c r="AD37" s="63">
        <f t="shared" ca="1" si="18"/>
        <v>2450</v>
      </c>
    </row>
    <row r="38" spans="3:30" x14ac:dyDescent="0.3">
      <c r="C38" s="54" cm="1">
        <f t="array" ref="C38">IF(C37=-1,-1,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-1</v>
      </c>
      <c r="D38" s="55">
        <f t="shared" si="0"/>
        <v>-1</v>
      </c>
      <c r="E38" s="54" cm="1">
        <f t="array" ref="E38">1*OR(row_id=income_header_row, row_id=expenses_header_row, row_id=savings_header_row)</f>
        <v>0</v>
      </c>
      <c r="F38">
        <f t="shared" si="1"/>
        <v>0</v>
      </c>
      <c r="G38" cm="1">
        <f t="array" ref="G38">1*OR(row_id=income_total_row, row_id=expenses_total_row, row_id=savings_total_row)</f>
        <v>0</v>
      </c>
      <c r="H38" s="55">
        <f t="shared" si="2"/>
        <v>1</v>
      </c>
      <c r="I38" s="54" t="str" cm="1">
        <f t="array" ref="I38">IFERROR(INDEX('Budget Planning'!$C:$C, header_row_id), "")</f>
        <v/>
      </c>
      <c r="J38" t="str" cm="1">
        <f t="array" ref="J38">IFERROR(INDEX('Budget Planning'!$C:$C, row_id), "")</f>
        <v/>
      </c>
      <c r="K38" s="57" t="str" cm="1">
        <f t="array" ref="K38">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38" s="58" t="str" cm="1">
        <f t="array" ref="L38">IF(OR(is_header, is_empty), "", INDEX('Budget Planning'!$E:$EM, row_id, MATCH(IF(Selected_Period="Total Year", Selected_Year, DATE(Selected_Year, Selected_Period, 1)), 'Budget Planning'!$E$9:$EM$9, 0)))</f>
        <v/>
      </c>
      <c r="M38" s="54" t="str" cm="1">
        <f t="array" ref="M38">IF(is_category, IF(header_row_id=income_header_row, MATCH(income_min_row, $C:$C, 0), IF(header_row_id=expenses_header_row, MATCH(expenses_min_row, $C:$C, 0), IF(header_row_id=savings_header_row, MATCH(savings_min_row, $C:$C, 0),""))), "")</f>
        <v/>
      </c>
      <c r="N38" s="55" t="str" cm="1">
        <f t="array" ref="N38">IF(is_category, IF(header_row_id=income_header_row, MATCH(income_max_row, $C:$C, 0), IF(header_row_id=expenses_header_row, MATCH(expenses_max_row, $C:$C, 0), IF(header_row_id=savings_header_row, MATCH(savings_max_row, $C:$C, 0),""))), "")</f>
        <v/>
      </c>
      <c r="O38" s="54" t="str">
        <f t="shared" si="3"/>
        <v/>
      </c>
      <c r="P38" t="str">
        <f t="shared" ca="1" si="4"/>
        <v/>
      </c>
      <c r="Q38" t="str">
        <f t="shared" si="5"/>
        <v/>
      </c>
      <c r="R38" s="55" t="str">
        <f t="shared" ca="1" si="6"/>
        <v/>
      </c>
      <c r="S38" s="54" t="str">
        <f t="shared" si="7"/>
        <v/>
      </c>
      <c r="T38" t="str">
        <f t="shared" si="8"/>
        <v/>
      </c>
      <c r="U38" t="str">
        <f t="shared" ca="1" si="9"/>
        <v/>
      </c>
      <c r="V38" t="str">
        <f t="shared" si="10"/>
        <v/>
      </c>
      <c r="W38" s="55" t="str">
        <f t="shared" ca="1" si="11"/>
        <v/>
      </c>
      <c r="X38" s="60">
        <f t="shared" si="12"/>
        <v>-1</v>
      </c>
      <c r="Y38" s="61" t="str">
        <f t="shared" si="13"/>
        <v/>
      </c>
      <c r="Z38" s="63" t="str">
        <f t="shared" si="14"/>
        <v/>
      </c>
      <c r="AA38" s="63" t="str">
        <f t="shared" si="15"/>
        <v/>
      </c>
      <c r="AB38" s="62" t="str">
        <f t="shared" si="16"/>
        <v/>
      </c>
      <c r="AC38" s="64" t="str">
        <f t="shared" si="17"/>
        <v/>
      </c>
      <c r="AD38" s="63" t="str">
        <f t="shared" si="18"/>
        <v/>
      </c>
    </row>
    <row r="39" spans="3:30" x14ac:dyDescent="0.3">
      <c r="C39" s="54" cm="1">
        <f t="array" ref="C39">IF(C38=-1,-1,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-1</v>
      </c>
      <c r="D39" s="55">
        <f t="shared" si="0"/>
        <v>-1</v>
      </c>
      <c r="E39" s="54" cm="1">
        <f t="array" ref="E39">1*OR(row_id=income_header_row, row_id=expenses_header_row, row_id=savings_header_row)</f>
        <v>0</v>
      </c>
      <c r="F39">
        <f t="shared" si="1"/>
        <v>0</v>
      </c>
      <c r="G39" cm="1">
        <f t="array" ref="G39">1*OR(row_id=income_total_row, row_id=expenses_total_row, row_id=savings_total_row)</f>
        <v>0</v>
      </c>
      <c r="H39" s="55">
        <f t="shared" si="2"/>
        <v>1</v>
      </c>
      <c r="I39" s="54" t="str" cm="1">
        <f t="array" ref="I39">IFERROR(INDEX('Budget Planning'!$C:$C, header_row_id), "")</f>
        <v/>
      </c>
      <c r="J39" t="str" cm="1">
        <f t="array" ref="J39">IFERROR(INDEX('Budget Planning'!$C:$C, row_id), "")</f>
        <v/>
      </c>
      <c r="K39" s="57" t="str" cm="1">
        <f t="array" ref="K39">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39" s="58" t="str" cm="1">
        <f t="array" ref="L39">IF(OR(is_header, is_empty), "", INDEX('Budget Planning'!$E:$EM, row_id, MATCH(IF(Selected_Period="Total Year", Selected_Year, DATE(Selected_Year, Selected_Period, 1)), 'Budget Planning'!$E$9:$EM$9, 0)))</f>
        <v/>
      </c>
      <c r="M39" s="54" t="str" cm="1">
        <f t="array" ref="M39">IF(is_category, IF(header_row_id=income_header_row, MATCH(income_min_row, $C:$C, 0), IF(header_row_id=expenses_header_row, MATCH(expenses_min_row, $C:$C, 0), IF(header_row_id=savings_header_row, MATCH(savings_min_row, $C:$C, 0),""))), "")</f>
        <v/>
      </c>
      <c r="N39" s="55" t="str" cm="1">
        <f t="array" ref="N39">IF(is_category, IF(header_row_id=income_header_row, MATCH(income_max_row, $C:$C, 0), IF(header_row_id=expenses_header_row, MATCH(expenses_max_row, $C:$C, 0), IF(header_row_id=savings_header_row, MATCH(savings_max_row, $C:$C, 0),""))), "")</f>
        <v/>
      </c>
      <c r="O39" s="54" t="str">
        <f t="shared" si="3"/>
        <v/>
      </c>
      <c r="P39" t="str">
        <f t="shared" ca="1" si="4"/>
        <v/>
      </c>
      <c r="Q39" t="str">
        <f t="shared" si="5"/>
        <v/>
      </c>
      <c r="R39" s="55" t="str">
        <f t="shared" ca="1" si="6"/>
        <v/>
      </c>
      <c r="S39" s="54" t="str">
        <f t="shared" si="7"/>
        <v/>
      </c>
      <c r="T39" t="str">
        <f t="shared" si="8"/>
        <v/>
      </c>
      <c r="U39" t="str">
        <f t="shared" ca="1" si="9"/>
        <v/>
      </c>
      <c r="V39" t="str">
        <f t="shared" si="10"/>
        <v/>
      </c>
      <c r="W39" s="55" t="str">
        <f t="shared" ca="1" si="11"/>
        <v/>
      </c>
      <c r="X39" s="60">
        <f t="shared" si="12"/>
        <v>-1</v>
      </c>
      <c r="Y39" s="61" t="str">
        <f t="shared" si="13"/>
        <v/>
      </c>
      <c r="Z39" s="63" t="str">
        <f t="shared" si="14"/>
        <v/>
      </c>
      <c r="AA39" s="63" t="str">
        <f t="shared" si="15"/>
        <v/>
      </c>
      <c r="AB39" s="62" t="str">
        <f t="shared" si="16"/>
        <v/>
      </c>
      <c r="AC39" s="64" t="str">
        <f t="shared" si="17"/>
        <v/>
      </c>
      <c r="AD39" s="63" t="str">
        <f t="shared" si="18"/>
        <v/>
      </c>
    </row>
    <row r="40" spans="3:30" x14ac:dyDescent="0.3">
      <c r="C40" s="54" cm="1">
        <f t="array" ref="C40">IF(C39=-1,-1,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-1</v>
      </c>
      <c r="D40" s="55">
        <f t="shared" si="0"/>
        <v>-1</v>
      </c>
      <c r="E40" s="54" cm="1">
        <f t="array" ref="E40">1*OR(row_id=income_header_row, row_id=expenses_header_row, row_id=savings_header_row)</f>
        <v>0</v>
      </c>
      <c r="F40">
        <f t="shared" si="1"/>
        <v>0</v>
      </c>
      <c r="G40" cm="1">
        <f t="array" ref="G40">1*OR(row_id=income_total_row, row_id=expenses_total_row, row_id=savings_total_row)</f>
        <v>0</v>
      </c>
      <c r="H40" s="55">
        <f t="shared" si="2"/>
        <v>1</v>
      </c>
      <c r="I40" s="54" t="str" cm="1">
        <f t="array" ref="I40">IFERROR(INDEX('Budget Planning'!$C:$C, header_row_id), "")</f>
        <v/>
      </c>
      <c r="J40" t="str" cm="1">
        <f t="array" ref="J40">IFERROR(INDEX('Budget Planning'!$C:$C, row_id), "")</f>
        <v/>
      </c>
      <c r="K40" s="57" t="str" cm="1">
        <f t="array" ref="K40">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0" s="58" t="str" cm="1">
        <f t="array" ref="L40">IF(OR(is_header, is_empty), "", INDEX('Budget Planning'!$E:$EM, row_id, MATCH(IF(Selected_Period="Total Year", Selected_Year, DATE(Selected_Year, Selected_Period, 1)), 'Budget Planning'!$E$9:$EM$9, 0)))</f>
        <v/>
      </c>
      <c r="M40" s="54" t="str" cm="1">
        <f t="array" ref="M40">IF(is_category, IF(header_row_id=income_header_row, MATCH(income_min_row, $C:$C, 0), IF(header_row_id=expenses_header_row, MATCH(expenses_min_row, $C:$C, 0), IF(header_row_id=savings_header_row, MATCH(savings_min_row, $C:$C, 0),""))), "")</f>
        <v/>
      </c>
      <c r="N40" s="55" t="str" cm="1">
        <f t="array" ref="N40">IF(is_category, IF(header_row_id=income_header_row, MATCH(income_max_row, $C:$C, 0), IF(header_row_id=expenses_header_row, MATCH(expenses_max_row, $C:$C, 0), IF(header_row_id=savings_header_row, MATCH(savings_max_row, $C:$C, 0),""))), "")</f>
        <v/>
      </c>
      <c r="O40" s="54" t="str">
        <f t="shared" si="3"/>
        <v/>
      </c>
      <c r="P40" t="str">
        <f t="shared" ca="1" si="4"/>
        <v/>
      </c>
      <c r="Q40" t="str">
        <f t="shared" si="5"/>
        <v/>
      </c>
      <c r="R40" s="55" t="str">
        <f t="shared" ca="1" si="6"/>
        <v/>
      </c>
      <c r="S40" s="54" t="str">
        <f t="shared" si="7"/>
        <v/>
      </c>
      <c r="T40" t="str">
        <f t="shared" si="8"/>
        <v/>
      </c>
      <c r="U40" t="str">
        <f t="shared" ca="1" si="9"/>
        <v/>
      </c>
      <c r="V40" t="str">
        <f t="shared" si="10"/>
        <v/>
      </c>
      <c r="W40" s="55" t="str">
        <f t="shared" ca="1" si="11"/>
        <v/>
      </c>
      <c r="X40" s="60">
        <f t="shared" si="12"/>
        <v>-1</v>
      </c>
      <c r="Y40" s="61" t="str">
        <f t="shared" si="13"/>
        <v/>
      </c>
      <c r="Z40" s="63" t="str">
        <f t="shared" si="14"/>
        <v/>
      </c>
      <c r="AA40" s="63" t="str">
        <f t="shared" si="15"/>
        <v/>
      </c>
      <c r="AB40" s="62" t="str">
        <f t="shared" si="16"/>
        <v/>
      </c>
      <c r="AC40" s="64" t="str">
        <f t="shared" si="17"/>
        <v/>
      </c>
      <c r="AD40" s="63" t="str">
        <f t="shared" si="18"/>
        <v/>
      </c>
    </row>
    <row r="41" spans="3:30" x14ac:dyDescent="0.3">
      <c r="C41" s="54" cm="1">
        <f t="array" ref="C41">IF(C40=-1,-1,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v>
      </c>
      <c r="D41" s="55">
        <f t="shared" si="0"/>
        <v>-1</v>
      </c>
      <c r="E41" s="54" cm="1">
        <f t="array" ref="E41">1*OR(row_id=income_header_row, row_id=expenses_header_row, row_id=savings_header_row)</f>
        <v>0</v>
      </c>
      <c r="F41">
        <f t="shared" si="1"/>
        <v>0</v>
      </c>
      <c r="G41" cm="1">
        <f t="array" ref="G41">1*OR(row_id=income_total_row, row_id=expenses_total_row, row_id=savings_total_row)</f>
        <v>0</v>
      </c>
      <c r="H41" s="55">
        <f t="shared" si="2"/>
        <v>1</v>
      </c>
      <c r="I41" s="54" t="str" cm="1">
        <f t="array" ref="I41">IFERROR(INDEX('Budget Planning'!$C:$C, header_row_id), "")</f>
        <v/>
      </c>
      <c r="J41" t="str" cm="1">
        <f t="array" ref="J41">IFERROR(INDEX('Budget Planning'!$C:$C, row_id), "")</f>
        <v/>
      </c>
      <c r="K41" s="57" t="str" cm="1">
        <f t="array" ref="K41">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1" s="58" t="str" cm="1">
        <f t="array" ref="L41">IF(OR(is_header, is_empty), "", INDEX('Budget Planning'!$E:$EM, row_id, MATCH(IF(Selected_Period="Total Year", Selected_Year, DATE(Selected_Year, Selected_Period, 1)), 'Budget Planning'!$E$9:$EM$9, 0)))</f>
        <v/>
      </c>
      <c r="M41" s="54" t="str" cm="1">
        <f t="array" ref="M41">IF(is_category, IF(header_row_id=income_header_row, MATCH(income_min_row, $C:$C, 0), IF(header_row_id=expenses_header_row, MATCH(expenses_min_row, $C:$C, 0), IF(header_row_id=savings_header_row, MATCH(savings_min_row, $C:$C, 0),""))), "")</f>
        <v/>
      </c>
      <c r="N41" s="55" t="str" cm="1">
        <f t="array" ref="N41">IF(is_category, IF(header_row_id=income_header_row, MATCH(income_max_row, $C:$C, 0), IF(header_row_id=expenses_header_row, MATCH(expenses_max_row, $C:$C, 0), IF(header_row_id=savings_header_row, MATCH(savings_max_row, $C:$C, 0),""))), "")</f>
        <v/>
      </c>
      <c r="O41" s="54" t="str">
        <f t="shared" si="3"/>
        <v/>
      </c>
      <c r="P41" t="str">
        <f t="shared" ca="1" si="4"/>
        <v/>
      </c>
      <c r="Q41" t="str">
        <f t="shared" si="5"/>
        <v/>
      </c>
      <c r="R41" s="55" t="str">
        <f t="shared" ca="1" si="6"/>
        <v/>
      </c>
      <c r="S41" s="54" t="str">
        <f t="shared" si="7"/>
        <v/>
      </c>
      <c r="T41" t="str">
        <f t="shared" si="8"/>
        <v/>
      </c>
      <c r="U41" t="str">
        <f t="shared" ca="1" si="9"/>
        <v/>
      </c>
      <c r="V41" t="str">
        <f t="shared" si="10"/>
        <v/>
      </c>
      <c r="W41" s="55" t="str">
        <f t="shared" ca="1" si="11"/>
        <v/>
      </c>
      <c r="X41" s="60">
        <f t="shared" si="12"/>
        <v>-1</v>
      </c>
      <c r="Y41" s="61" t="str">
        <f t="shared" si="13"/>
        <v/>
      </c>
      <c r="Z41" s="63" t="str">
        <f t="shared" si="14"/>
        <v/>
      </c>
      <c r="AA41" s="63" t="str">
        <f t="shared" si="15"/>
        <v/>
      </c>
      <c r="AB41" s="62" t="str">
        <f t="shared" si="16"/>
        <v/>
      </c>
      <c r="AC41" s="64" t="str">
        <f t="shared" si="17"/>
        <v/>
      </c>
      <c r="AD41" s="63" t="str">
        <f t="shared" si="18"/>
        <v/>
      </c>
    </row>
    <row r="42" spans="3:30" x14ac:dyDescent="0.3">
      <c r="C42" s="54" cm="1">
        <f t="array" ref="C42">IF(C41=-1,-1,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v>
      </c>
      <c r="D42" s="55">
        <f t="shared" si="0"/>
        <v>-1</v>
      </c>
      <c r="E42" s="54" cm="1">
        <f t="array" ref="E42">1*OR(row_id=income_header_row, row_id=expenses_header_row, row_id=savings_header_row)</f>
        <v>0</v>
      </c>
      <c r="F42">
        <f t="shared" si="1"/>
        <v>0</v>
      </c>
      <c r="G42" cm="1">
        <f t="array" ref="G42">1*OR(row_id=income_total_row, row_id=expenses_total_row, row_id=savings_total_row)</f>
        <v>0</v>
      </c>
      <c r="H42" s="55">
        <f t="shared" si="2"/>
        <v>1</v>
      </c>
      <c r="I42" s="54" t="str" cm="1">
        <f t="array" ref="I42">IFERROR(INDEX('Budget Planning'!$C:$C, header_row_id), "")</f>
        <v/>
      </c>
      <c r="J42" t="str" cm="1">
        <f t="array" ref="J42">IFERROR(INDEX('Budget Planning'!$C:$C, row_id), "")</f>
        <v/>
      </c>
      <c r="K42" s="57" t="str" cm="1">
        <f t="array" ref="K42">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2" s="58" t="str" cm="1">
        <f t="array" ref="L42">IF(OR(is_header, is_empty), "", INDEX('Budget Planning'!$E:$EM, row_id, MATCH(IF(Selected_Period="Total Year", Selected_Year, DATE(Selected_Year, Selected_Period, 1)), 'Budget Planning'!$E$9:$EM$9, 0)))</f>
        <v/>
      </c>
      <c r="M42" s="54" t="str" cm="1">
        <f t="array" ref="M42">IF(is_category, IF(header_row_id=income_header_row, MATCH(income_min_row, $C:$C, 0), IF(header_row_id=expenses_header_row, MATCH(expenses_min_row, $C:$C, 0), IF(header_row_id=savings_header_row, MATCH(savings_min_row, $C:$C, 0),""))), "")</f>
        <v/>
      </c>
      <c r="N42" s="55" t="str" cm="1">
        <f t="array" ref="N42">IF(is_category, IF(header_row_id=income_header_row, MATCH(income_max_row, $C:$C, 0), IF(header_row_id=expenses_header_row, MATCH(expenses_max_row, $C:$C, 0), IF(header_row_id=savings_header_row, MATCH(savings_max_row, $C:$C, 0),""))), "")</f>
        <v/>
      </c>
      <c r="O42" s="54" t="str">
        <f t="shared" si="3"/>
        <v/>
      </c>
      <c r="P42" t="str">
        <f t="shared" ca="1" si="4"/>
        <v/>
      </c>
      <c r="Q42" t="str">
        <f t="shared" si="5"/>
        <v/>
      </c>
      <c r="R42" s="55" t="str">
        <f t="shared" ca="1" si="6"/>
        <v/>
      </c>
      <c r="S42" s="54" t="str">
        <f t="shared" si="7"/>
        <v/>
      </c>
      <c r="T42" t="str">
        <f t="shared" si="8"/>
        <v/>
      </c>
      <c r="U42" t="str">
        <f t="shared" ca="1" si="9"/>
        <v/>
      </c>
      <c r="V42" t="str">
        <f t="shared" si="10"/>
        <v/>
      </c>
      <c r="W42" s="55" t="str">
        <f t="shared" ca="1" si="11"/>
        <v/>
      </c>
      <c r="X42" s="60">
        <f t="shared" si="12"/>
        <v>-1</v>
      </c>
      <c r="Y42" s="61" t="str">
        <f t="shared" si="13"/>
        <v/>
      </c>
      <c r="Z42" s="63" t="str">
        <f t="shared" si="14"/>
        <v/>
      </c>
      <c r="AA42" s="63" t="str">
        <f t="shared" si="15"/>
        <v/>
      </c>
      <c r="AB42" s="62" t="str">
        <f t="shared" si="16"/>
        <v/>
      </c>
      <c r="AC42" s="64" t="str">
        <f t="shared" si="17"/>
        <v/>
      </c>
      <c r="AD42" s="63" t="str">
        <f t="shared" si="18"/>
        <v/>
      </c>
    </row>
    <row r="43" spans="3:30" x14ac:dyDescent="0.3">
      <c r="C43" s="54" cm="1">
        <f t="array" ref="C43">IF(C42=-1,-1,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v>
      </c>
      <c r="D43" s="55">
        <f t="shared" si="0"/>
        <v>-1</v>
      </c>
      <c r="E43" s="54" cm="1">
        <f t="array" ref="E43">1*OR(row_id=income_header_row, row_id=expenses_header_row, row_id=savings_header_row)</f>
        <v>0</v>
      </c>
      <c r="F43">
        <f t="shared" si="1"/>
        <v>0</v>
      </c>
      <c r="G43" cm="1">
        <f t="array" ref="G43">1*OR(row_id=income_total_row, row_id=expenses_total_row, row_id=savings_total_row)</f>
        <v>0</v>
      </c>
      <c r="H43" s="55">
        <f t="shared" si="2"/>
        <v>1</v>
      </c>
      <c r="I43" s="54" t="str" cm="1">
        <f t="array" ref="I43">IFERROR(INDEX('Budget Planning'!$C:$C, header_row_id), "")</f>
        <v/>
      </c>
      <c r="J43" t="str" cm="1">
        <f t="array" ref="J43">IFERROR(INDEX('Budget Planning'!$C:$C, row_id), "")</f>
        <v/>
      </c>
      <c r="K43" s="57" t="str" cm="1">
        <f t="array" ref="K43">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3" s="58" t="str" cm="1">
        <f t="array" ref="L43">IF(OR(is_header, is_empty), "", INDEX('Budget Planning'!$E:$EM, row_id, MATCH(IF(Selected_Period="Total Year", Selected_Year, DATE(Selected_Year, Selected_Period, 1)), 'Budget Planning'!$E$9:$EM$9, 0)))</f>
        <v/>
      </c>
      <c r="M43" s="54" t="str" cm="1">
        <f t="array" ref="M43">IF(is_category, IF(header_row_id=income_header_row, MATCH(income_min_row, $C:$C, 0), IF(header_row_id=expenses_header_row, MATCH(expenses_min_row, $C:$C, 0), IF(header_row_id=savings_header_row, MATCH(savings_min_row, $C:$C, 0),""))), "")</f>
        <v/>
      </c>
      <c r="N43" s="55" t="str" cm="1">
        <f t="array" ref="N43">IF(is_category, IF(header_row_id=income_header_row, MATCH(income_max_row, $C:$C, 0), IF(header_row_id=expenses_header_row, MATCH(expenses_max_row, $C:$C, 0), IF(header_row_id=savings_header_row, MATCH(savings_max_row, $C:$C, 0),""))), "")</f>
        <v/>
      </c>
      <c r="O43" s="54" t="str">
        <f t="shared" si="3"/>
        <v/>
      </c>
      <c r="P43" t="str">
        <f t="shared" ca="1" si="4"/>
        <v/>
      </c>
      <c r="Q43" t="str">
        <f t="shared" si="5"/>
        <v/>
      </c>
      <c r="R43" s="55" t="str">
        <f t="shared" ca="1" si="6"/>
        <v/>
      </c>
      <c r="S43" s="54" t="str">
        <f t="shared" si="7"/>
        <v/>
      </c>
      <c r="T43" t="str">
        <f t="shared" si="8"/>
        <v/>
      </c>
      <c r="U43" t="str">
        <f t="shared" ca="1" si="9"/>
        <v/>
      </c>
      <c r="V43" t="str">
        <f t="shared" si="10"/>
        <v/>
      </c>
      <c r="W43" s="55" t="str">
        <f t="shared" ca="1" si="11"/>
        <v/>
      </c>
      <c r="X43" s="60">
        <f t="shared" si="12"/>
        <v>-1</v>
      </c>
      <c r="Y43" s="61" t="str">
        <f t="shared" si="13"/>
        <v/>
      </c>
      <c r="Z43" s="63" t="str">
        <f t="shared" si="14"/>
        <v/>
      </c>
      <c r="AA43" s="63" t="str">
        <f t="shared" si="15"/>
        <v/>
      </c>
      <c r="AB43" s="62" t="str">
        <f t="shared" si="16"/>
        <v/>
      </c>
      <c r="AC43" s="64" t="str">
        <f t="shared" si="17"/>
        <v/>
      </c>
      <c r="AD43" s="63" t="str">
        <f t="shared" si="18"/>
        <v/>
      </c>
    </row>
    <row r="44" spans="3:30" x14ac:dyDescent="0.3">
      <c r="C44" s="54" cm="1">
        <f t="array" ref="C44">IF(C43=-1,-1,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v>
      </c>
      <c r="D44" s="55">
        <f t="shared" si="0"/>
        <v>-1</v>
      </c>
      <c r="E44" s="54" cm="1">
        <f t="array" ref="E44">1*OR(row_id=income_header_row, row_id=expenses_header_row, row_id=savings_header_row)</f>
        <v>0</v>
      </c>
      <c r="F44">
        <f t="shared" si="1"/>
        <v>0</v>
      </c>
      <c r="G44" cm="1">
        <f t="array" ref="G44">1*OR(row_id=income_total_row, row_id=expenses_total_row, row_id=savings_total_row)</f>
        <v>0</v>
      </c>
      <c r="H44" s="55">
        <f t="shared" si="2"/>
        <v>1</v>
      </c>
      <c r="I44" s="54" t="str" cm="1">
        <f t="array" ref="I44">IFERROR(INDEX('Budget Planning'!$C:$C, header_row_id), "")</f>
        <v/>
      </c>
      <c r="J44" t="str" cm="1">
        <f t="array" ref="J44">IFERROR(INDEX('Budget Planning'!$C:$C, row_id), "")</f>
        <v/>
      </c>
      <c r="K44" s="57" t="str" cm="1">
        <f t="array" ref="K44">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4" s="58" t="str" cm="1">
        <f t="array" ref="L44">IF(OR(is_header, is_empty), "", INDEX('Budget Planning'!$E:$EM, row_id, MATCH(IF(Selected_Period="Total Year", Selected_Year, DATE(Selected_Year, Selected_Period, 1)), 'Budget Planning'!$E$9:$EM$9, 0)))</f>
        <v/>
      </c>
      <c r="M44" s="54" t="str" cm="1">
        <f t="array" ref="M44">IF(is_category, IF(header_row_id=income_header_row, MATCH(income_min_row, $C:$C, 0), IF(header_row_id=expenses_header_row, MATCH(expenses_min_row, $C:$C, 0), IF(header_row_id=savings_header_row, MATCH(savings_min_row, $C:$C, 0),""))), "")</f>
        <v/>
      </c>
      <c r="N44" s="55" t="str" cm="1">
        <f t="array" ref="N44">IF(is_category, IF(header_row_id=income_header_row, MATCH(income_max_row, $C:$C, 0), IF(header_row_id=expenses_header_row, MATCH(expenses_max_row, $C:$C, 0), IF(header_row_id=savings_header_row, MATCH(savings_max_row, $C:$C, 0),""))), "")</f>
        <v/>
      </c>
      <c r="O44" s="54" t="str">
        <f t="shared" si="3"/>
        <v/>
      </c>
      <c r="P44" t="str">
        <f t="shared" ca="1" si="4"/>
        <v/>
      </c>
      <c r="Q44" t="str">
        <f t="shared" si="5"/>
        <v/>
      </c>
      <c r="R44" s="55" t="str">
        <f t="shared" ca="1" si="6"/>
        <v/>
      </c>
      <c r="S44" s="54" t="str">
        <f t="shared" si="7"/>
        <v/>
      </c>
      <c r="T44" t="str">
        <f t="shared" si="8"/>
        <v/>
      </c>
      <c r="U44" t="str">
        <f t="shared" ca="1" si="9"/>
        <v/>
      </c>
      <c r="V44" t="str">
        <f t="shared" si="10"/>
        <v/>
      </c>
      <c r="W44" s="55" t="str">
        <f t="shared" ca="1" si="11"/>
        <v/>
      </c>
      <c r="X44" s="60">
        <f t="shared" si="12"/>
        <v>-1</v>
      </c>
      <c r="Y44" s="61" t="str">
        <f t="shared" si="13"/>
        <v/>
      </c>
      <c r="Z44" s="63" t="str">
        <f t="shared" si="14"/>
        <v/>
      </c>
      <c r="AA44" s="63" t="str">
        <f t="shared" si="15"/>
        <v/>
      </c>
      <c r="AB44" s="62" t="str">
        <f t="shared" si="16"/>
        <v/>
      </c>
      <c r="AC44" s="64" t="str">
        <f t="shared" si="17"/>
        <v/>
      </c>
      <c r="AD44" s="63" t="str">
        <f t="shared" si="18"/>
        <v/>
      </c>
    </row>
    <row r="45" spans="3:30" x14ac:dyDescent="0.3">
      <c r="C45" s="54" cm="1">
        <f t="array" ref="C45">IF(C44=-1,-1,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55">
        <f t="shared" si="0"/>
        <v>-1</v>
      </c>
      <c r="E45" s="54" cm="1">
        <f t="array" ref="E45">1*OR(row_id=income_header_row, row_id=expenses_header_row, row_id=savings_header_row)</f>
        <v>0</v>
      </c>
      <c r="F45">
        <f t="shared" si="1"/>
        <v>0</v>
      </c>
      <c r="G45" cm="1">
        <f t="array" ref="G45">1*OR(row_id=income_total_row, row_id=expenses_total_row, row_id=savings_total_row)</f>
        <v>0</v>
      </c>
      <c r="H45" s="55">
        <f t="shared" si="2"/>
        <v>1</v>
      </c>
      <c r="I45" s="54" t="str" cm="1">
        <f t="array" ref="I45">IFERROR(INDEX('Budget Planning'!$C:$C, header_row_id), "")</f>
        <v/>
      </c>
      <c r="J45" t="str" cm="1">
        <f t="array" ref="J45">IFERROR(INDEX('Budget Planning'!$C:$C, row_id), "")</f>
        <v/>
      </c>
      <c r="K45" s="57" t="str" cm="1">
        <f t="array" ref="K45">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5" s="58" t="str" cm="1">
        <f t="array" ref="L45">IF(OR(is_header, is_empty), "", INDEX('Budget Planning'!$E:$EM, row_id, MATCH(IF(Selected_Period="Total Year", Selected_Year, DATE(Selected_Year, Selected_Period, 1)), 'Budget Planning'!$E$9:$EM$9, 0)))</f>
        <v/>
      </c>
      <c r="M45" s="54" t="str" cm="1">
        <f t="array" ref="M45">IF(is_category, IF(header_row_id=income_header_row, MATCH(income_min_row, $C:$C, 0), IF(header_row_id=expenses_header_row, MATCH(expenses_min_row, $C:$C, 0), IF(header_row_id=savings_header_row, MATCH(savings_min_row, $C:$C, 0),""))), "")</f>
        <v/>
      </c>
      <c r="N45" s="55" t="str" cm="1">
        <f t="array" ref="N45">IF(is_category, IF(header_row_id=income_header_row, MATCH(income_max_row, $C:$C, 0), IF(header_row_id=expenses_header_row, MATCH(expenses_max_row, $C:$C, 0), IF(header_row_id=savings_header_row, MATCH(savings_max_row, $C:$C, 0),""))), "")</f>
        <v/>
      </c>
      <c r="O45" s="54" t="str">
        <f t="shared" si="3"/>
        <v/>
      </c>
      <c r="P45" t="str">
        <f t="shared" ca="1" si="4"/>
        <v/>
      </c>
      <c r="Q45" t="str">
        <f t="shared" si="5"/>
        <v/>
      </c>
      <c r="R45" s="55" t="str">
        <f t="shared" ca="1" si="6"/>
        <v/>
      </c>
      <c r="S45" s="54" t="str">
        <f t="shared" si="7"/>
        <v/>
      </c>
      <c r="T45" t="str">
        <f t="shared" si="8"/>
        <v/>
      </c>
      <c r="U45" t="str">
        <f t="shared" ca="1" si="9"/>
        <v/>
      </c>
      <c r="V45" t="str">
        <f t="shared" si="10"/>
        <v/>
      </c>
      <c r="W45" s="55" t="str">
        <f t="shared" ca="1" si="11"/>
        <v/>
      </c>
      <c r="X45" s="60">
        <f t="shared" si="12"/>
        <v>-1</v>
      </c>
      <c r="Y45" s="61" t="str">
        <f t="shared" si="13"/>
        <v/>
      </c>
      <c r="Z45" s="63" t="str">
        <f t="shared" si="14"/>
        <v/>
      </c>
      <c r="AA45" s="63" t="str">
        <f t="shared" si="15"/>
        <v/>
      </c>
      <c r="AB45" s="62" t="str">
        <f t="shared" si="16"/>
        <v/>
      </c>
      <c r="AC45" s="64" t="str">
        <f t="shared" si="17"/>
        <v/>
      </c>
      <c r="AD45" s="63" t="str">
        <f t="shared" si="18"/>
        <v/>
      </c>
    </row>
    <row r="46" spans="3:30" x14ac:dyDescent="0.3">
      <c r="C46" s="54" cm="1">
        <f t="array" ref="C46">IF(C45=-1,-1,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55">
        <f t="shared" si="0"/>
        <v>-1</v>
      </c>
      <c r="E46" s="54" cm="1">
        <f t="array" ref="E46">1*OR(row_id=income_header_row, row_id=expenses_header_row, row_id=savings_header_row)</f>
        <v>0</v>
      </c>
      <c r="F46">
        <f t="shared" si="1"/>
        <v>0</v>
      </c>
      <c r="G46" cm="1">
        <f t="array" ref="G46">1*OR(row_id=income_total_row, row_id=expenses_total_row, row_id=savings_total_row)</f>
        <v>0</v>
      </c>
      <c r="H46" s="55">
        <f t="shared" si="2"/>
        <v>1</v>
      </c>
      <c r="I46" s="54" t="str" cm="1">
        <f t="array" ref="I46">IFERROR(INDEX('Budget Planning'!$C:$C, header_row_id), "")</f>
        <v/>
      </c>
      <c r="J46" t="str" cm="1">
        <f t="array" ref="J46">IFERROR(INDEX('Budget Planning'!$C:$C, row_id), "")</f>
        <v/>
      </c>
      <c r="K46" s="57" t="str" cm="1">
        <f t="array" ref="K46">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6" s="58" t="str" cm="1">
        <f t="array" ref="L46">IF(OR(is_header, is_empty), "", INDEX('Budget Planning'!$E:$EM, row_id, MATCH(IF(Selected_Period="Total Year", Selected_Year, DATE(Selected_Year, Selected_Period, 1)), 'Budget Planning'!$E$9:$EM$9, 0)))</f>
        <v/>
      </c>
      <c r="M46" s="54" t="str" cm="1">
        <f t="array" ref="M46">IF(is_category, IF(header_row_id=income_header_row, MATCH(income_min_row, $C:$C, 0), IF(header_row_id=expenses_header_row, MATCH(expenses_min_row, $C:$C, 0), IF(header_row_id=savings_header_row, MATCH(savings_min_row, $C:$C, 0),""))), "")</f>
        <v/>
      </c>
      <c r="N46" s="55" t="str" cm="1">
        <f t="array" ref="N46">IF(is_category, IF(header_row_id=income_header_row, MATCH(income_max_row, $C:$C, 0), IF(header_row_id=expenses_header_row, MATCH(expenses_max_row, $C:$C, 0), IF(header_row_id=savings_header_row, MATCH(savings_max_row, $C:$C, 0),""))), "")</f>
        <v/>
      </c>
      <c r="O46" s="54" t="str">
        <f t="shared" si="3"/>
        <v/>
      </c>
      <c r="P46" t="str">
        <f t="shared" ca="1" si="4"/>
        <v/>
      </c>
      <c r="Q46" t="str">
        <f t="shared" si="5"/>
        <v/>
      </c>
      <c r="R46" s="55" t="str">
        <f t="shared" ca="1" si="6"/>
        <v/>
      </c>
      <c r="S46" s="54" t="str">
        <f t="shared" si="7"/>
        <v/>
      </c>
      <c r="T46" t="str">
        <f t="shared" si="8"/>
        <v/>
      </c>
      <c r="U46" t="str">
        <f t="shared" ca="1" si="9"/>
        <v/>
      </c>
      <c r="V46" t="str">
        <f t="shared" si="10"/>
        <v/>
      </c>
      <c r="W46" s="55" t="str">
        <f t="shared" ca="1" si="11"/>
        <v/>
      </c>
      <c r="X46" s="60">
        <f t="shared" si="12"/>
        <v>-1</v>
      </c>
      <c r="Y46" s="61" t="str">
        <f t="shared" si="13"/>
        <v/>
      </c>
      <c r="Z46" s="63" t="str">
        <f t="shared" si="14"/>
        <v/>
      </c>
      <c r="AA46" s="63" t="str">
        <f t="shared" si="15"/>
        <v/>
      </c>
      <c r="AB46" s="62" t="str">
        <f t="shared" si="16"/>
        <v/>
      </c>
      <c r="AC46" s="64" t="str">
        <f t="shared" si="17"/>
        <v/>
      </c>
      <c r="AD46" s="63" t="str">
        <f t="shared" si="18"/>
        <v/>
      </c>
    </row>
    <row r="47" spans="3:30" x14ac:dyDescent="0.3">
      <c r="C47" s="54" cm="1">
        <f t="array" ref="C47">IF(C46=-1,-1,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55">
        <f t="shared" si="0"/>
        <v>-1</v>
      </c>
      <c r="E47" s="54" cm="1">
        <f t="array" ref="E47">1*OR(row_id=income_header_row, row_id=expenses_header_row, row_id=savings_header_row)</f>
        <v>0</v>
      </c>
      <c r="F47">
        <f t="shared" si="1"/>
        <v>0</v>
      </c>
      <c r="G47" cm="1">
        <f t="array" ref="G47">1*OR(row_id=income_total_row, row_id=expenses_total_row, row_id=savings_total_row)</f>
        <v>0</v>
      </c>
      <c r="H47" s="55">
        <f t="shared" si="2"/>
        <v>1</v>
      </c>
      <c r="I47" s="54" t="str" cm="1">
        <f t="array" ref="I47">IFERROR(INDEX('Budget Planning'!$C:$C, header_row_id), "")</f>
        <v/>
      </c>
      <c r="J47" t="str" cm="1">
        <f t="array" ref="J47">IFERROR(INDEX('Budget Planning'!$C:$C, row_id), "")</f>
        <v/>
      </c>
      <c r="K47" s="57" t="str" cm="1">
        <f t="array" ref="K47">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7" s="58" t="str" cm="1">
        <f t="array" ref="L47">IF(OR(is_header, is_empty), "", INDEX('Budget Planning'!$E:$EM, row_id, MATCH(IF(Selected_Period="Total Year", Selected_Year, DATE(Selected_Year, Selected_Period, 1)), 'Budget Planning'!$E$9:$EM$9, 0)))</f>
        <v/>
      </c>
      <c r="M47" s="54" t="str" cm="1">
        <f t="array" ref="M47">IF(is_category, IF(header_row_id=income_header_row, MATCH(income_min_row, $C:$C, 0), IF(header_row_id=expenses_header_row, MATCH(expenses_min_row, $C:$C, 0), IF(header_row_id=savings_header_row, MATCH(savings_min_row, $C:$C, 0),""))), "")</f>
        <v/>
      </c>
      <c r="N47" s="55" t="str" cm="1">
        <f t="array" ref="N47">IF(is_category, IF(header_row_id=income_header_row, MATCH(income_max_row, $C:$C, 0), IF(header_row_id=expenses_header_row, MATCH(expenses_max_row, $C:$C, 0), IF(header_row_id=savings_header_row, MATCH(savings_max_row, $C:$C, 0),""))), "")</f>
        <v/>
      </c>
      <c r="O47" s="54" t="str">
        <f t="shared" si="3"/>
        <v/>
      </c>
      <c r="P47" t="str">
        <f t="shared" ca="1" si="4"/>
        <v/>
      </c>
      <c r="Q47" t="str">
        <f t="shared" si="5"/>
        <v/>
      </c>
      <c r="R47" s="55" t="str">
        <f t="shared" ca="1" si="6"/>
        <v/>
      </c>
      <c r="S47" s="54" t="str">
        <f t="shared" si="7"/>
        <v/>
      </c>
      <c r="T47" t="str">
        <f t="shared" si="8"/>
        <v/>
      </c>
      <c r="U47" t="str">
        <f t="shared" ca="1" si="9"/>
        <v/>
      </c>
      <c r="V47" t="str">
        <f t="shared" si="10"/>
        <v/>
      </c>
      <c r="W47" s="55" t="str">
        <f t="shared" ca="1" si="11"/>
        <v/>
      </c>
      <c r="X47" s="60">
        <f t="shared" si="12"/>
        <v>-1</v>
      </c>
      <c r="Y47" s="61" t="str">
        <f t="shared" si="13"/>
        <v/>
      </c>
      <c r="Z47" s="63" t="str">
        <f t="shared" si="14"/>
        <v/>
      </c>
      <c r="AA47" s="63" t="str">
        <f t="shared" si="15"/>
        <v/>
      </c>
      <c r="AB47" s="62" t="str">
        <f t="shared" si="16"/>
        <v/>
      </c>
      <c r="AC47" s="64" t="str">
        <f t="shared" si="17"/>
        <v/>
      </c>
      <c r="AD47" s="63" t="str">
        <f t="shared" si="18"/>
        <v/>
      </c>
    </row>
    <row r="48" spans="3:30" x14ac:dyDescent="0.3">
      <c r="C48" s="54" cm="1">
        <f t="array" ref="C48">IF(C47=-1,-1,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55">
        <f t="shared" si="0"/>
        <v>-1</v>
      </c>
      <c r="E48" s="54" cm="1">
        <f t="array" ref="E48">1*OR(row_id=income_header_row, row_id=expenses_header_row, row_id=savings_header_row)</f>
        <v>0</v>
      </c>
      <c r="F48">
        <f t="shared" si="1"/>
        <v>0</v>
      </c>
      <c r="G48" cm="1">
        <f t="array" ref="G48">1*OR(row_id=income_total_row, row_id=expenses_total_row, row_id=savings_total_row)</f>
        <v>0</v>
      </c>
      <c r="H48" s="55">
        <f t="shared" si="2"/>
        <v>1</v>
      </c>
      <c r="I48" s="54" t="str" cm="1">
        <f t="array" ref="I48">IFERROR(INDEX('Budget Planning'!$C:$C, header_row_id), "")</f>
        <v/>
      </c>
      <c r="J48" t="str" cm="1">
        <f t="array" ref="J48">IFERROR(INDEX('Budget Planning'!$C:$C, row_id), "")</f>
        <v/>
      </c>
      <c r="K48" s="57" t="str" cm="1">
        <f t="array" ref="K48">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8" s="58" t="str" cm="1">
        <f t="array" ref="L48">IF(OR(is_header, is_empty), "", INDEX('Budget Planning'!$E:$EM, row_id, MATCH(IF(Selected_Period="Total Year", Selected_Year, DATE(Selected_Year, Selected_Period, 1)), 'Budget Planning'!$E$9:$EM$9, 0)))</f>
        <v/>
      </c>
      <c r="M48" s="54" t="str" cm="1">
        <f t="array" ref="M48">IF(is_category, IF(header_row_id=income_header_row, MATCH(income_min_row, $C:$C, 0), IF(header_row_id=expenses_header_row, MATCH(expenses_min_row, $C:$C, 0), IF(header_row_id=savings_header_row, MATCH(savings_min_row, $C:$C, 0),""))), "")</f>
        <v/>
      </c>
      <c r="N48" s="55" t="str" cm="1">
        <f t="array" ref="N48">IF(is_category, IF(header_row_id=income_header_row, MATCH(income_max_row, $C:$C, 0), IF(header_row_id=expenses_header_row, MATCH(expenses_max_row, $C:$C, 0), IF(header_row_id=savings_header_row, MATCH(savings_max_row, $C:$C, 0),""))), "")</f>
        <v/>
      </c>
      <c r="O48" s="54" t="str">
        <f t="shared" si="3"/>
        <v/>
      </c>
      <c r="P48" t="str">
        <f t="shared" ca="1" si="4"/>
        <v/>
      </c>
      <c r="Q48" t="str">
        <f t="shared" si="5"/>
        <v/>
      </c>
      <c r="R48" s="55" t="str">
        <f t="shared" ca="1" si="6"/>
        <v/>
      </c>
      <c r="S48" s="54" t="str">
        <f t="shared" si="7"/>
        <v/>
      </c>
      <c r="T48" t="str">
        <f t="shared" si="8"/>
        <v/>
      </c>
      <c r="U48" t="str">
        <f t="shared" ca="1" si="9"/>
        <v/>
      </c>
      <c r="V48" t="str">
        <f t="shared" si="10"/>
        <v/>
      </c>
      <c r="W48" s="55" t="str">
        <f t="shared" ca="1" si="11"/>
        <v/>
      </c>
      <c r="X48" s="60">
        <f t="shared" si="12"/>
        <v>-1</v>
      </c>
      <c r="Y48" s="61" t="str">
        <f t="shared" si="13"/>
        <v/>
      </c>
      <c r="Z48" s="63" t="str">
        <f t="shared" si="14"/>
        <v/>
      </c>
      <c r="AA48" s="63" t="str">
        <f t="shared" si="15"/>
        <v/>
      </c>
      <c r="AB48" s="62" t="str">
        <f t="shared" si="16"/>
        <v/>
      </c>
      <c r="AC48" s="64" t="str">
        <f t="shared" si="17"/>
        <v/>
      </c>
      <c r="AD48" s="63" t="str">
        <f t="shared" si="18"/>
        <v/>
      </c>
    </row>
    <row r="49" spans="3:30" x14ac:dyDescent="0.3">
      <c r="C49" s="54" cm="1">
        <f t="array" ref="C49">IF(C48=-1,-1,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55">
        <f t="shared" si="0"/>
        <v>-1</v>
      </c>
      <c r="E49" s="54" cm="1">
        <f t="array" ref="E49">1*OR(row_id=income_header_row, row_id=expenses_header_row, row_id=savings_header_row)</f>
        <v>0</v>
      </c>
      <c r="F49">
        <f t="shared" si="1"/>
        <v>0</v>
      </c>
      <c r="G49" cm="1">
        <f t="array" ref="G49">1*OR(row_id=income_total_row, row_id=expenses_total_row, row_id=savings_total_row)</f>
        <v>0</v>
      </c>
      <c r="H49" s="55">
        <f t="shared" si="2"/>
        <v>1</v>
      </c>
      <c r="I49" s="54" t="str" cm="1">
        <f t="array" ref="I49">IFERROR(INDEX('Budget Planning'!$C:$C, header_row_id), "")</f>
        <v/>
      </c>
      <c r="J49" t="str" cm="1">
        <f t="array" ref="J49">IFERROR(INDEX('Budget Planning'!$C:$C, row_id), "")</f>
        <v/>
      </c>
      <c r="K49" s="57" t="str" cm="1">
        <f t="array" ref="K49">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49" s="58" t="str" cm="1">
        <f t="array" ref="L49">IF(OR(is_header, is_empty), "", INDEX('Budget Planning'!$E:$EM, row_id, MATCH(IF(Selected_Period="Total Year", Selected_Year, DATE(Selected_Year, Selected_Period, 1)), 'Budget Planning'!$E$9:$EM$9, 0)))</f>
        <v/>
      </c>
      <c r="M49" s="54" t="str" cm="1">
        <f t="array" ref="M49">IF(is_category, IF(header_row_id=income_header_row, MATCH(income_min_row, $C:$C, 0), IF(header_row_id=expenses_header_row, MATCH(expenses_min_row, $C:$C, 0), IF(header_row_id=savings_header_row, MATCH(savings_min_row, $C:$C, 0),""))), "")</f>
        <v/>
      </c>
      <c r="N49" s="55" t="str" cm="1">
        <f t="array" ref="N49">IF(is_category, IF(header_row_id=income_header_row, MATCH(income_max_row, $C:$C, 0), IF(header_row_id=expenses_header_row, MATCH(expenses_max_row, $C:$C, 0), IF(header_row_id=savings_header_row, MATCH(savings_max_row, $C:$C, 0),""))), "")</f>
        <v/>
      </c>
      <c r="O49" s="54" t="str">
        <f t="shared" si="3"/>
        <v/>
      </c>
      <c r="P49" t="str">
        <f t="shared" ca="1" si="4"/>
        <v/>
      </c>
      <c r="Q49" t="str">
        <f t="shared" si="5"/>
        <v/>
      </c>
      <c r="R49" s="55" t="str">
        <f t="shared" ca="1" si="6"/>
        <v/>
      </c>
      <c r="S49" s="54" t="str">
        <f t="shared" si="7"/>
        <v/>
      </c>
      <c r="T49" t="str">
        <f t="shared" si="8"/>
        <v/>
      </c>
      <c r="U49" t="str">
        <f t="shared" ca="1" si="9"/>
        <v/>
      </c>
      <c r="V49" t="str">
        <f t="shared" si="10"/>
        <v/>
      </c>
      <c r="W49" s="55" t="str">
        <f t="shared" ca="1" si="11"/>
        <v/>
      </c>
      <c r="X49" s="60">
        <f t="shared" si="12"/>
        <v>-1</v>
      </c>
      <c r="Y49" s="61" t="str">
        <f t="shared" si="13"/>
        <v/>
      </c>
      <c r="Z49" s="63" t="str">
        <f t="shared" si="14"/>
        <v/>
      </c>
      <c r="AA49" s="63" t="str">
        <f t="shared" si="15"/>
        <v/>
      </c>
      <c r="AB49" s="62" t="str">
        <f t="shared" si="16"/>
        <v/>
      </c>
      <c r="AC49" s="64" t="str">
        <f t="shared" si="17"/>
        <v/>
      </c>
      <c r="AD49" s="63" t="str">
        <f t="shared" si="18"/>
        <v/>
      </c>
    </row>
    <row r="50" spans="3:30" x14ac:dyDescent="0.3">
      <c r="C50" s="54" cm="1">
        <f t="array" ref="C50">IF(C49=-1,-1,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55">
        <f t="shared" si="0"/>
        <v>-1</v>
      </c>
      <c r="E50" s="54" cm="1">
        <f t="array" ref="E50">1*OR(row_id=income_header_row, row_id=expenses_header_row, row_id=savings_header_row)</f>
        <v>0</v>
      </c>
      <c r="F50">
        <f t="shared" si="1"/>
        <v>0</v>
      </c>
      <c r="G50" cm="1">
        <f t="array" ref="G50">1*OR(row_id=income_total_row, row_id=expenses_total_row, row_id=savings_total_row)</f>
        <v>0</v>
      </c>
      <c r="H50" s="55">
        <f t="shared" si="2"/>
        <v>1</v>
      </c>
      <c r="I50" s="54" t="str" cm="1">
        <f t="array" ref="I50">IFERROR(INDEX('Budget Planning'!$C:$C, header_row_id), "")</f>
        <v/>
      </c>
      <c r="J50" t="str" cm="1">
        <f t="array" ref="J50">IFERROR(INDEX('Budget Planning'!$C:$C, row_id), "")</f>
        <v/>
      </c>
      <c r="K50" s="57" t="str" cm="1">
        <f t="array" ref="K50">IF(OR(is_header, is_empty), "", IF(is_total, IF(Selected_Period="Total Year", SUM(Tracking[Amount] * (Tracking[Type]=type) * (YEAR(Tracking[Effective Date])=Selected_Year)), SUM(Tracking[Amount] * (Tracking[Type]=type) * (YEAR(Tracking[Effective Date])=Selected_Year)*(MONTH(Tracking[Effective Date])=Selected_Period))), IF(Selected_Period="Total Year", SUM(Tracking[Amount] * (Tracking[Type]=type) * (Tracking[Category]=item) * (YEAR(Tracking[Effective Date])=Selected_Year)), SUM(Tracking[Amount] * (Tracking[Category]=item) * (Tracking[Type]=type) * (YEAR(Tracking[Effective Date])=Selected_Year)*(MONTH(Tracking[Effective Date])=Selected_Period)))))</f>
        <v/>
      </c>
      <c r="L50" s="58" t="str" cm="1">
        <f t="array" ref="L50">IF(OR(is_header, is_empty), "", INDEX('Budget Planning'!$E:$EM, row_id, MATCH(IF(Selected_Period="Total Year", Selected_Year, DATE(Selected_Year, Selected_Period, 1)), 'Budget Planning'!$E$9:$EM$9, 0)))</f>
        <v/>
      </c>
      <c r="M50" s="54" t="str" cm="1">
        <f t="array" ref="M50">IF(is_category, IF(header_row_id=income_header_row, MATCH(income_min_row, $C:$C, 0), IF(header_row_id=expenses_header_row, MATCH(expenses_min_row, $C:$C, 0), IF(header_row_id=savings_header_row, MATCH(savings_min_row, $C:$C, 0),""))), "")</f>
        <v/>
      </c>
      <c r="N50" s="55" t="str" cm="1">
        <f t="array" ref="N50">IF(is_category, IF(header_row_id=income_header_row, MATCH(income_max_row, $C:$C, 0), IF(header_row_id=expenses_header_row, MATCH(expenses_max_row, $C:$C, 0), IF(header_row_id=savings_header_row, MATCH(savings_max_row, $C:$C, 0),""))), "")</f>
        <v/>
      </c>
      <c r="O50" s="54" t="str">
        <f t="shared" si="3"/>
        <v/>
      </c>
      <c r="P50" t="str">
        <f t="shared" ca="1" si="4"/>
        <v/>
      </c>
      <c r="Q50" t="str">
        <f t="shared" si="5"/>
        <v/>
      </c>
      <c r="R50" s="55" t="str">
        <f t="shared" ca="1" si="6"/>
        <v/>
      </c>
      <c r="S50" s="54" t="str">
        <f t="shared" si="7"/>
        <v/>
      </c>
      <c r="T50" t="str">
        <f t="shared" si="8"/>
        <v/>
      </c>
      <c r="U50" t="str">
        <f t="shared" ca="1" si="9"/>
        <v/>
      </c>
      <c r="V50" t="str">
        <f t="shared" si="10"/>
        <v/>
      </c>
      <c r="W50" s="55" t="str">
        <f t="shared" ca="1" si="11"/>
        <v/>
      </c>
      <c r="X50" s="60">
        <f t="shared" si="12"/>
        <v>-1</v>
      </c>
      <c r="Y50" s="61" t="str">
        <f t="shared" si="13"/>
        <v/>
      </c>
      <c r="Z50" s="63" t="str">
        <f t="shared" si="14"/>
        <v/>
      </c>
      <c r="AA50" s="63" t="str">
        <f t="shared" si="15"/>
        <v/>
      </c>
      <c r="AB50" s="62" t="str">
        <f t="shared" si="16"/>
        <v/>
      </c>
      <c r="AC50" s="64" t="str">
        <f t="shared" si="17"/>
        <v/>
      </c>
      <c r="AD50" s="63" t="str">
        <f t="shared" si="18"/>
        <v/>
      </c>
    </row>
  </sheetData>
  <mergeCells count="8">
    <mergeCell ref="Y11:AD11"/>
    <mergeCell ref="AF11:AR11"/>
    <mergeCell ref="AQ5:AR5"/>
    <mergeCell ref="AQ6:AR6"/>
    <mergeCell ref="AN6:AP6"/>
    <mergeCell ref="AQ8:AR8"/>
    <mergeCell ref="AN9:AP9"/>
    <mergeCell ref="AQ9:AR9"/>
  </mergeCells>
  <conditionalFormatting sqref="Y13:AD50">
    <cfRule type="expression" dxfId="6" priority="1" stopIfTrue="1">
      <formula>row_id=income_header_row</formula>
    </cfRule>
    <cfRule type="expression" dxfId="5" priority="2" stopIfTrue="1">
      <formula>row_id=expenses_header_row</formula>
    </cfRule>
    <cfRule type="expression" dxfId="4" priority="3" stopIfTrue="1">
      <formula>row_id=savings_header_row</formula>
    </cfRule>
    <cfRule type="expression" dxfId="3" priority="7" stopIfTrue="1">
      <formula>is_total</formula>
    </cfRule>
  </conditionalFormatting>
  <conditionalFormatting sqref="AB13:AB50">
    <cfRule type="expression" dxfId="2" priority="8" stopIfTrue="1">
      <formula>AND(OR(is_category, is_total), out_budget &gt; 0, out_percentage_completed &gt;=1, header_row_id=income_header_row)</formula>
    </cfRule>
    <cfRule type="expression" dxfId="1" priority="9" stopIfTrue="1">
      <formula>AND(OR(is_category, is_total), out_budget &gt; 0, out_percentage_completed &gt;=1, header_row_id=expenses_header_row)</formula>
    </cfRule>
    <cfRule type="expression" dxfId="0" priority="10" stopIfTrue="1">
      <formula>AND(OR(is_category, is_total), out_budget &gt; 0, out_percentage_completed &gt;=1, header_row_id=savings_header_row)</formula>
    </cfRule>
    <cfRule type="dataBar" priority="11">
      <dataBar>
        <cfvo type="num" val="0"/>
        <cfvo type="num" val="1"/>
        <color theme="0" tint="-0.249977111117893"/>
      </dataBar>
      <extLst>
        <ext xmlns:x14="http://schemas.microsoft.com/office/spreadsheetml/2009/9/main" uri="{B025F937-C7B1-47D3-B67F-A62EFF666E3E}">
          <x14:id>{86F900F1-06D4-4DC6-AB22-A17418A581CC}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6F900F1-06D4-4DC6-AB22-A17418A581CC}">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E1872F9-78F3-4D5B-B998-D49F61CBA7E1}">
          <x14:formula1>
            <xm:f>'Dropdown Data'!$C$8:$C$18</xm:f>
          </x14:formula1>
          <xm:sqref>AQ6:AR6</xm:sqref>
        </x14:dataValidation>
        <x14:dataValidation type="list" allowBlank="1" showInputMessage="1" showErrorMessage="1" xr:uid="{0C539671-AB10-49A7-B63D-A3598A623676}">
          <x14:formula1>
            <xm:f>'Dropdown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4A8A-4805-43C0-925E-174FB5E09866}">
  <dimension ref="C6:N41"/>
  <sheetViews>
    <sheetView showGridLines="0" topLeftCell="A33" zoomScale="83" zoomScaleNormal="83" workbookViewId="0">
      <selection activeCell="L51" sqref="L51"/>
    </sheetView>
  </sheetViews>
  <sheetFormatPr defaultRowHeight="14.4" x14ac:dyDescent="0.3"/>
  <cols>
    <col min="1" max="2" width="9.109375" customWidth="1"/>
    <col min="3" max="3" width="2" customWidth="1"/>
    <col min="4" max="4" width="22.5546875" customWidth="1"/>
    <col min="5" max="5" width="32.109375" customWidth="1"/>
    <col min="6" max="6" width="11.21875" customWidth="1"/>
    <col min="7" max="7" width="9.109375" customWidth="1"/>
    <col min="8" max="8" width="22.5546875" customWidth="1"/>
    <col min="9" max="9" width="32.109375" customWidth="1"/>
    <col min="10" max="10" width="11.21875" customWidth="1"/>
    <col min="12" max="12" width="22.5546875" customWidth="1"/>
    <col min="13" max="13" width="32.109375" customWidth="1"/>
    <col min="14" max="14" width="11.21875" customWidth="1"/>
  </cols>
  <sheetData>
    <row r="6" spans="3:6" x14ac:dyDescent="0.3">
      <c r="C6" s="91" t="s">
        <v>42</v>
      </c>
      <c r="D6" s="91"/>
      <c r="E6" s="91"/>
      <c r="F6" s="91"/>
    </row>
    <row r="8" spans="3:6" x14ac:dyDescent="0.3">
      <c r="D8" s="6" t="s">
        <v>43</v>
      </c>
      <c r="E8" s="38" cm="1">
        <f t="array" ref="E8">current_date</f>
        <v>45832</v>
      </c>
    </row>
    <row r="9" spans="3:6" x14ac:dyDescent="0.3">
      <c r="D9" s="6" t="s">
        <v>44</v>
      </c>
      <c r="E9" s="38">
        <f>MAX(Tracking[Date])</f>
        <v>45731</v>
      </c>
    </row>
    <row r="10" spans="3:6" x14ac:dyDescent="0.3">
      <c r="D10" s="6" t="s">
        <v>45</v>
      </c>
      <c r="E10" t="str">
        <f>IF(E9=0, "", "(" &amp;_xlfn.DAYS(E8,E9) &amp; " days ago)")</f>
        <v>(101 days ago)</v>
      </c>
    </row>
    <row r="11" spans="3:6" x14ac:dyDescent="0.3">
      <c r="D11" s="6" t="s">
        <v>46</v>
      </c>
      <c r="E11">
        <f>COUNT(Tracking[Date])</f>
        <v>62</v>
      </c>
    </row>
    <row r="12" spans="3:6" x14ac:dyDescent="0.3">
      <c r="D12" s="6" t="s">
        <v>47</v>
      </c>
      <c r="E12" t="str" cm="1">
        <f t="array" ref="E12">"(" &amp; SUMPRODUCT(--(YEAR(Tracking[Date])=YEAR(current_date))) &amp; " this year)"</f>
        <v>(61 this year)</v>
      </c>
    </row>
    <row r="13" spans="3:6" x14ac:dyDescent="0.3">
      <c r="D13" s="6" t="s">
        <v>48</v>
      </c>
      <c r="E13" s="39">
        <f>_xlfn.IFNA(INDEX(Tracking[Balance], MATCH(Calculations!E9, Tracking[Date],0)), "-")</f>
        <v>1420</v>
      </c>
    </row>
    <row r="14" spans="3:6" x14ac:dyDescent="0.3">
      <c r="D14" s="6" t="s">
        <v>49</v>
      </c>
      <c r="E14" t="str">
        <f>IF(E13&gt;=0, "of tracked income left to be allocated", "allocated not covered by income")</f>
        <v>of tracked income left to be allocated</v>
      </c>
    </row>
    <row r="17" spans="3:14" x14ac:dyDescent="0.3">
      <c r="C17" s="91" t="s">
        <v>60</v>
      </c>
      <c r="D17" s="91"/>
      <c r="E17" s="91"/>
      <c r="F17" s="91"/>
    </row>
    <row r="19" spans="3:14" x14ac:dyDescent="0.3">
      <c r="D19" s="6" t="s">
        <v>61</v>
      </c>
      <c r="E19" cm="1">
        <f t="array" ref="E19">IF('Budget Dashboard'!$AQ$6="Current Year", YEAR(current_date), 'Budget Dashboard'!$AQ$6)</f>
        <v>2025</v>
      </c>
    </row>
    <row r="20" spans="3:14" x14ac:dyDescent="0.3">
      <c r="D20" s="48" t="s">
        <v>62</v>
      </c>
      <c r="E20" s="49" cm="1">
        <f t="array" ref="E20">IF('Budget Dashboard'!$AQ$9="Total Year", "Total Year", IF('Budget Dashboard'!$AQ$9="Current Month", MONTH(current_date), MONTH('Budget Dashboard'!$AQ$9)))</f>
        <v>3</v>
      </c>
    </row>
    <row r="21" spans="3:14" x14ac:dyDescent="0.3">
      <c r="D21" s="6" t="s">
        <v>63</v>
      </c>
      <c r="E21" s="50" t="str">
        <f>IF(Selected_Period="Total Year", "Total Year", TEXT(DATE(Selected_Year, Selected_Period, 1), "mmmm"))</f>
        <v>March</v>
      </c>
    </row>
    <row r="32" spans="3:14" x14ac:dyDescent="0.3">
      <c r="D32" s="75" t="s">
        <v>86</v>
      </c>
      <c r="E32" s="74"/>
      <c r="F32" s="74"/>
      <c r="G32" s="74"/>
      <c r="H32" s="74"/>
      <c r="I32" s="74"/>
      <c r="J32" s="74"/>
      <c r="K32" s="74"/>
      <c r="L32" s="74"/>
      <c r="M32" s="74"/>
      <c r="N32" s="74"/>
    </row>
    <row r="34" spans="4:14" x14ac:dyDescent="0.3">
      <c r="D34" s="76" t="s">
        <v>4</v>
      </c>
      <c r="E34" s="76" t="s">
        <v>31</v>
      </c>
      <c r="F34" s="76" t="s">
        <v>32</v>
      </c>
      <c r="H34" s="76" t="s">
        <v>10</v>
      </c>
      <c r="I34" s="76" t="s">
        <v>31</v>
      </c>
      <c r="J34" s="76" t="s">
        <v>32</v>
      </c>
      <c r="L34" s="76" t="s">
        <v>15</v>
      </c>
      <c r="M34" s="76" t="s">
        <v>31</v>
      </c>
      <c r="N34" s="76" t="s">
        <v>32</v>
      </c>
    </row>
    <row r="35" spans="4:14" x14ac:dyDescent="0.3">
      <c r="D35" s="77">
        <v>1</v>
      </c>
      <c r="E35" s="77" t="s">
        <v>87</v>
      </c>
      <c r="F35" s="80">
        <v>1000</v>
      </c>
      <c r="H35" s="77">
        <v>1</v>
      </c>
      <c r="I35" s="77" t="s">
        <v>93</v>
      </c>
      <c r="J35" s="80">
        <v>1000</v>
      </c>
      <c r="L35" s="77">
        <v>1</v>
      </c>
      <c r="M35" s="77" t="s">
        <v>98</v>
      </c>
      <c r="N35" s="80">
        <v>1000</v>
      </c>
    </row>
    <row r="36" spans="4:14" x14ac:dyDescent="0.3">
      <c r="D36" s="77">
        <v>2</v>
      </c>
      <c r="E36" s="77" t="s">
        <v>88</v>
      </c>
      <c r="F36" s="80">
        <v>1000</v>
      </c>
      <c r="H36" s="77">
        <v>2</v>
      </c>
      <c r="I36" s="77" t="s">
        <v>94</v>
      </c>
      <c r="J36" s="80">
        <v>1000</v>
      </c>
      <c r="L36" s="77">
        <v>2</v>
      </c>
      <c r="M36" s="77" t="s">
        <v>99</v>
      </c>
      <c r="N36" s="80">
        <v>1000</v>
      </c>
    </row>
    <row r="37" spans="4:14" x14ac:dyDescent="0.3">
      <c r="D37" s="77">
        <v>3</v>
      </c>
      <c r="E37" s="77" t="s">
        <v>89</v>
      </c>
      <c r="F37" s="80">
        <v>1000</v>
      </c>
      <c r="H37" s="77">
        <v>3</v>
      </c>
      <c r="I37" s="77" t="s">
        <v>95</v>
      </c>
      <c r="J37" s="80">
        <v>1000</v>
      </c>
      <c r="L37" s="77">
        <v>3</v>
      </c>
      <c r="M37" s="77" t="s">
        <v>100</v>
      </c>
      <c r="N37" s="80">
        <v>1000</v>
      </c>
    </row>
    <row r="38" spans="4:14" x14ac:dyDescent="0.3">
      <c r="D38" s="77">
        <v>4</v>
      </c>
      <c r="E38" s="77" t="s">
        <v>90</v>
      </c>
      <c r="F38" s="80">
        <v>1000</v>
      </c>
      <c r="H38" s="77">
        <v>4</v>
      </c>
      <c r="I38" s="77" t="s">
        <v>96</v>
      </c>
      <c r="J38" s="80">
        <v>1000</v>
      </c>
      <c r="L38" s="77">
        <v>4</v>
      </c>
      <c r="M38" s="77" t="s">
        <v>101</v>
      </c>
      <c r="N38" s="80">
        <v>1000</v>
      </c>
    </row>
    <row r="39" spans="4:14" x14ac:dyDescent="0.3">
      <c r="D39" s="77">
        <v>5</v>
      </c>
      <c r="E39" s="77" t="s">
        <v>91</v>
      </c>
      <c r="F39" s="80">
        <v>1000</v>
      </c>
      <c r="H39" s="77">
        <v>5</v>
      </c>
      <c r="I39" s="77" t="s">
        <v>97</v>
      </c>
      <c r="J39" s="80">
        <v>1000</v>
      </c>
      <c r="L39" s="77">
        <v>5</v>
      </c>
      <c r="M39" s="77" t="s">
        <v>102</v>
      </c>
      <c r="N39" s="80">
        <v>1000</v>
      </c>
    </row>
    <row r="40" spans="4:14" ht="15" thickBot="1" x14ac:dyDescent="0.35">
      <c r="D40" s="78">
        <v>6</v>
      </c>
      <c r="E40" s="78" t="s">
        <v>92</v>
      </c>
      <c r="F40" s="81">
        <v>1000</v>
      </c>
      <c r="H40" s="78">
        <v>6</v>
      </c>
      <c r="I40" s="78" t="s">
        <v>92</v>
      </c>
      <c r="J40" s="81">
        <v>2000</v>
      </c>
      <c r="L40" s="78">
        <v>6</v>
      </c>
      <c r="M40" s="78" t="s">
        <v>92</v>
      </c>
      <c r="N40" s="81">
        <v>3000</v>
      </c>
    </row>
    <row r="41" spans="4:14" ht="15" thickTop="1" x14ac:dyDescent="0.3">
      <c r="D41" s="77"/>
      <c r="E41" s="79" t="s">
        <v>6</v>
      </c>
      <c r="F41" s="82">
        <v>6000</v>
      </c>
      <c r="H41" s="77"/>
      <c r="I41" s="79" t="s">
        <v>6</v>
      </c>
      <c r="J41" s="82">
        <v>7000</v>
      </c>
      <c r="L41" s="77"/>
      <c r="M41" s="79" t="s">
        <v>6</v>
      </c>
      <c r="N41" s="82">
        <v>8000</v>
      </c>
    </row>
  </sheetData>
  <mergeCells count="2">
    <mergeCell ref="C6:F6"/>
    <mergeCell ref="C17:F17"/>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3618-4A0A-4FD2-971F-71B789843CB0}">
  <dimension ref="C7:E22"/>
  <sheetViews>
    <sheetView topLeftCell="A4" workbookViewId="0">
      <selection activeCell="C7" sqref="C7"/>
    </sheetView>
  </sheetViews>
  <sheetFormatPr defaultRowHeight="14.4" x14ac:dyDescent="0.3"/>
  <cols>
    <col min="3" max="3" width="17.6640625" customWidth="1"/>
    <col min="5" max="5" width="17.6640625" customWidth="1"/>
  </cols>
  <sheetData>
    <row r="7" spans="3:5" x14ac:dyDescent="0.3">
      <c r="C7" s="42" t="s">
        <v>55</v>
      </c>
      <c r="E7" s="42" t="s">
        <v>57</v>
      </c>
    </row>
    <row r="8" spans="3:5" x14ac:dyDescent="0.3">
      <c r="C8" s="43" t="s">
        <v>56</v>
      </c>
      <c r="E8" s="43" t="s">
        <v>58</v>
      </c>
    </row>
    <row r="9" spans="3:5" x14ac:dyDescent="0.3">
      <c r="C9" s="43">
        <f>starting_year</f>
        <v>2025</v>
      </c>
      <c r="E9" s="43" t="s">
        <v>59</v>
      </c>
    </row>
    <row r="10" spans="3:5" x14ac:dyDescent="0.3">
      <c r="C10" s="43">
        <f>C9+1</f>
        <v>2026</v>
      </c>
      <c r="E10" s="46">
        <v>36526</v>
      </c>
    </row>
    <row r="11" spans="3:5" x14ac:dyDescent="0.3">
      <c r="C11" s="43">
        <f t="shared" ref="C11:C18" si="0">C10+1</f>
        <v>2027</v>
      </c>
      <c r="E11" s="46">
        <v>36557</v>
      </c>
    </row>
    <row r="12" spans="3:5" x14ac:dyDescent="0.3">
      <c r="C12" s="43">
        <f t="shared" si="0"/>
        <v>2028</v>
      </c>
      <c r="E12" s="46">
        <v>36586</v>
      </c>
    </row>
    <row r="13" spans="3:5" x14ac:dyDescent="0.3">
      <c r="C13" s="43">
        <f t="shared" si="0"/>
        <v>2029</v>
      </c>
      <c r="E13" s="46">
        <v>36617</v>
      </c>
    </row>
    <row r="14" spans="3:5" x14ac:dyDescent="0.3">
      <c r="C14" s="43">
        <f t="shared" si="0"/>
        <v>2030</v>
      </c>
      <c r="E14" s="46">
        <v>36647</v>
      </c>
    </row>
    <row r="15" spans="3:5" x14ac:dyDescent="0.3">
      <c r="C15" s="43">
        <f t="shared" si="0"/>
        <v>2031</v>
      </c>
      <c r="E15" s="46">
        <v>36678</v>
      </c>
    </row>
    <row r="16" spans="3:5" x14ac:dyDescent="0.3">
      <c r="C16" s="43">
        <f t="shared" si="0"/>
        <v>2032</v>
      </c>
      <c r="E16" s="46">
        <v>36708</v>
      </c>
    </row>
    <row r="17" spans="3:5" x14ac:dyDescent="0.3">
      <c r="C17" s="43">
        <f t="shared" si="0"/>
        <v>2033</v>
      </c>
      <c r="E17" s="46">
        <v>36739</v>
      </c>
    </row>
    <row r="18" spans="3:5" x14ac:dyDescent="0.3">
      <c r="C18" s="44">
        <f t="shared" si="0"/>
        <v>2034</v>
      </c>
      <c r="E18" s="46">
        <v>36770</v>
      </c>
    </row>
    <row r="19" spans="3:5" x14ac:dyDescent="0.3">
      <c r="E19" s="46">
        <v>36800</v>
      </c>
    </row>
    <row r="20" spans="3:5" x14ac:dyDescent="0.3">
      <c r="E20" s="46">
        <v>36831</v>
      </c>
    </row>
    <row r="21" spans="3:5" x14ac:dyDescent="0.3">
      <c r="E21" s="47">
        <v>36861</v>
      </c>
    </row>
    <row r="22" spans="3:5" x14ac:dyDescent="0.3">
      <c r="E22" s="4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52E170-22FF-44E8-94E3-8F2D035F5E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31</vt:i4>
      </vt:variant>
    </vt:vector>
  </HeadingPairs>
  <TitlesOfParts>
    <vt:vector size="37" baseType="lpstr">
      <vt:lpstr>Settings</vt:lpstr>
      <vt:lpstr>Budget Planning</vt:lpstr>
      <vt:lpstr>Budget Tracking</vt:lpstr>
      <vt:lpstr>Budget Dashboard</vt:lpstr>
      <vt:lpstr>Calculations</vt:lpstr>
      <vt:lpstr>Dropdown Data</vt:lpstr>
      <vt:lpstr>'Budget Dashboard'!budget</vt:lpstr>
      <vt:lpstr>'Budget Dashboard'!budget_range</vt:lpstr>
      <vt:lpstr>'Budget Dashboard'!budget_rank</vt:lpstr>
      <vt:lpstr>'Budget Dashboard'!comb_rank</vt:lpstr>
      <vt:lpstr>'Budget Dashboard'!comb_rank_norm</vt:lpstr>
      <vt:lpstr>'Budget Dashboard'!comb_rank_norm_run_range</vt:lpstr>
      <vt:lpstr>'Budget Dashboard'!comb_rank_range</vt:lpstr>
      <vt:lpstr>'Budget Dashboard'!comb_rank_unique</vt:lpstr>
      <vt:lpstr>'Budget Tracking'!comb_rank_unique</vt:lpstr>
      <vt:lpstr>'Budget Dashboard'!header_row_id</vt:lpstr>
      <vt:lpstr>'Budget Dashboard'!is_category</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Tabassum</dc:creator>
  <cp:lastModifiedBy>Saif Tabassum</cp:lastModifiedBy>
  <dcterms:created xsi:type="dcterms:W3CDTF">2025-05-30T02:18:08Z</dcterms:created>
  <dcterms:modified xsi:type="dcterms:W3CDTF">2026-05-01T00:48:14Z</dcterms:modified>
</cp:coreProperties>
</file>