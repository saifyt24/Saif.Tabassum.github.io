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2f321bda9962ca9/Desktop/Excel Sheets/"/>
    </mc:Choice>
  </mc:AlternateContent>
  <xr:revisionPtr revIDLastSave="264" documentId="14_{DF2A3B7E-36D4-4221-A429-379310E30028}" xr6:coauthVersionLast="47" xr6:coauthVersionMax="47" xr10:uidLastSave="{AFB759A8-4A90-4614-B2A6-6E638AB0C878}"/>
  <bookViews>
    <workbookView xWindow="-108" yWindow="-108" windowWidth="23256" windowHeight="12456" xr2:uid="{6DFBA769-B0B8-41FE-922D-0391E2977078}"/>
  </bookViews>
  <sheets>
    <sheet name="Application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S14" i="1" l="1" a="1"/>
  <c r="P14" i="1" a="1"/>
  <c r="S14" i="1" l="1"/>
  <c r="P14" i="1"/>
  <c r="P19" i="1" s="1"/>
  <c r="P2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<sst xmlns="http://schemas.openxmlformats.org/spreadsheetml/2006/main" count="150" uniqueCount="83">
  <si>
    <t>#</t>
  </si>
  <si>
    <t>Company</t>
  </si>
  <si>
    <t>Position</t>
  </si>
  <si>
    <t>Location</t>
  </si>
  <si>
    <t>Job Type</t>
  </si>
  <si>
    <t>Date Applied</t>
  </si>
  <si>
    <t>Status</t>
  </si>
  <si>
    <t>Follow-up Date</t>
  </si>
  <si>
    <t>Contact Person</t>
  </si>
  <si>
    <t>Salary Range</t>
  </si>
  <si>
    <t>Link</t>
  </si>
  <si>
    <t>Notes</t>
  </si>
  <si>
    <t>Status Options</t>
  </si>
  <si>
    <t>Applied</t>
  </si>
  <si>
    <t>Assessment</t>
  </si>
  <si>
    <t>Interview</t>
  </si>
  <si>
    <t>Offer</t>
  </si>
  <si>
    <t>Rejected</t>
  </si>
  <si>
    <t>Job Type Options</t>
  </si>
  <si>
    <t>Remote</t>
  </si>
  <si>
    <t>In-person</t>
  </si>
  <si>
    <t>Hybrid</t>
  </si>
  <si>
    <t>Total</t>
  </si>
  <si>
    <t>Active</t>
  </si>
  <si>
    <t>Caledon Produce Farms</t>
  </si>
  <si>
    <t>Bookkeeper</t>
  </si>
  <si>
    <t>Burford</t>
  </si>
  <si>
    <t>NA</t>
  </si>
  <si>
    <t>Click here</t>
  </si>
  <si>
    <t>Process Analyst</t>
  </si>
  <si>
    <t>Paris</t>
  </si>
  <si>
    <t>Amrize</t>
  </si>
  <si>
    <t>Toyotetsu</t>
  </si>
  <si>
    <t>Simcoe</t>
  </si>
  <si>
    <t>Accounting Specialist</t>
  </si>
  <si>
    <t>Indeed link not included because rejected</t>
  </si>
  <si>
    <t>didn't call</t>
  </si>
  <si>
    <t>lady on call wasn't nice</t>
  </si>
  <si>
    <t>Wentworth School District</t>
  </si>
  <si>
    <t>Junior financial analyst</t>
  </si>
  <si>
    <t>Hamilton</t>
  </si>
  <si>
    <t>RBC</t>
  </si>
  <si>
    <t>Adminstrative Assistant</t>
  </si>
  <si>
    <t>Brantford</t>
  </si>
  <si>
    <t>deanne.jancar@rbc.com</t>
  </si>
  <si>
    <t>$38,000 - $55,000</t>
  </si>
  <si>
    <t>Fin Accountant &amp; Analyst</t>
  </si>
  <si>
    <t>Community Living Cambridge</t>
  </si>
  <si>
    <t>Cambridge</t>
  </si>
  <si>
    <t>19.30/hr</t>
  </si>
  <si>
    <t>Aldershot Landscape Contract</t>
  </si>
  <si>
    <t>Accounting Analyst</t>
  </si>
  <si>
    <t>Burlington</t>
  </si>
  <si>
    <t>25.64-28.85</t>
  </si>
  <si>
    <t>CIBC</t>
  </si>
  <si>
    <t>Client Service Representative</t>
  </si>
  <si>
    <t>WALK INTO BANK</t>
  </si>
  <si>
    <t>Walk in and talk to the teller manager (maybe branch manager)</t>
  </si>
  <si>
    <t>Global Citrus Group</t>
  </si>
  <si>
    <t>Junior Accounting Associate</t>
  </si>
  <si>
    <t>$45,000-$55,000</t>
  </si>
  <si>
    <t>BONNY MUTHUVEREN</t>
  </si>
  <si>
    <t>Called and left an email</t>
  </si>
  <si>
    <t>called them and left an email</t>
  </si>
  <si>
    <t>Emailed Deanne Jancar (Manager) for referral (No reponse)</t>
  </si>
  <si>
    <t>Left a voicemail</t>
  </si>
  <si>
    <t>Blake Medical Group</t>
  </si>
  <si>
    <t>Accounts Payable Clerk</t>
  </si>
  <si>
    <t>22-25</t>
  </si>
  <si>
    <t>Called and left my phone number to talk more about position</t>
  </si>
  <si>
    <t>siemens</t>
  </si>
  <si>
    <t>Oakville</t>
  </si>
  <si>
    <t>25-31</t>
  </si>
  <si>
    <t>Owais mentioned Jawad's friend works for this company</t>
  </si>
  <si>
    <t>Meridian</t>
  </si>
  <si>
    <t>July 17th</t>
  </si>
  <si>
    <t>CALL THEM OR WALK IN</t>
  </si>
  <si>
    <t>Financial Services Rep</t>
  </si>
  <si>
    <t>Junior AR/AP Clerk</t>
  </si>
  <si>
    <t>CALL THEM</t>
  </si>
  <si>
    <t>Elastochem</t>
  </si>
  <si>
    <t>Frost Systems</t>
  </si>
  <si>
    <t>June 20th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</si>
</sst>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/>
    <xf numFmtId="164" fontId="1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1"/>
    <xf numFmtId="0" fontId="3" fillId="0" borderId="0" xfId="1" applyFont="1"/>
    <xf numFmtId="164" fontId="3" fillId="0" borderId="0" xfId="1" applyNumberFormat="1" applyFon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3" fillId="0" borderId="0" xfId="1" applyFont="1" applyAlignment="1">
      <alignment vertical="center"/>
    </xf>
    <xf numFmtId="3" fontId="0" fillId="0" borderId="0" xfId="0" applyNumberFormat="1"/>
  </cellXfs>
  <cellStyles count="2">
    <cellStyle name="Hyperlink" xfId="1" builtinId="8"/>
    <cellStyle name="Normal" xfId="0" builtinId="0"/>
  </cellStyles>
  <dxfs count="7"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2" tint="-0.749992370372631"/>
        </patternFill>
      </fill>
    </dxf>
    <dxf>
      <font>
        <b/>
        <i val="0"/>
        <color rgb="FFC00000"/>
      </font>
      <fill>
        <patternFill patternType="solid">
          <bgColor rgb="FFFF9393"/>
        </patternFill>
      </fill>
      <border>
        <top/>
        <bottom/>
      </border>
    </dxf>
    <dxf>
      <font>
        <b/>
        <i val="0"/>
        <color rgb="FF006100"/>
      </font>
      <fill>
        <patternFill>
          <bgColor rgb="FFC6EFCE"/>
        </patternFill>
      </fill>
      <border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9393"/>
      <color rgb="FFFF7D7D"/>
      <color rgb="FFFF66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Applications!$O$14:$O$18</c:f>
              <c:strCache>
                <c:ptCount val="5"/>
                <c:pt idx="0">
                  <c:v>Applied</c:v>
                </c:pt>
                <c:pt idx="1">
                  <c:v>Assessment</c:v>
                </c:pt>
                <c:pt idx="2">
                  <c:v>Interview</c:v>
                </c:pt>
                <c:pt idx="3">
                  <c:v>Offer</c:v>
                </c:pt>
                <c:pt idx="4">
                  <c:v>Rejected</c:v>
                </c:pt>
              </c:strCache>
            </c:strRef>
          </c:cat>
          <c:val>
            <c:numRef>
              <c:f>Applications!$P$14:$P$18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5-4CAC-A221-48DD947AE1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1532279055"/>
        <c:axId val="1532280015"/>
      </c:barChart>
      <c:catAx>
        <c:axId val="15322790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280015"/>
        <c:crosses val="autoZero"/>
        <c:auto val="1"/>
        <c:lblAlgn val="ctr"/>
        <c:lblOffset val="100"/>
        <c:noMultiLvlLbl val="0"/>
      </c:catAx>
      <c:valAx>
        <c:axId val="15322800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3227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Applications!$R$14:$R$16</c:f>
              <c:strCache>
                <c:ptCount val="3"/>
                <c:pt idx="0">
                  <c:v>Remote</c:v>
                </c:pt>
                <c:pt idx="1">
                  <c:v>In-person</c:v>
                </c:pt>
                <c:pt idx="2">
                  <c:v>Hybrid</c:v>
                </c:pt>
              </c:strCache>
            </c:strRef>
          </c:cat>
          <c:val>
            <c:numRef>
              <c:f>Applications!$S$14:$S$16</c:f>
              <c:numCache>
                <c:formatCode>General</c:formatCode>
                <c:ptCount val="3"/>
                <c:pt idx="0">
                  <c:v>0</c:v>
                </c:pt>
                <c:pt idx="1">
                  <c:v>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2-4497-92B6-025B8663030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1632728335"/>
        <c:axId val="1632729295"/>
      </c:barChart>
      <c:catAx>
        <c:axId val="16327283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729295"/>
        <c:crosses val="autoZero"/>
        <c:auto val="1"/>
        <c:lblAlgn val="ctr"/>
        <c:lblOffset val="100"/>
        <c:noMultiLvlLbl val="0"/>
      </c:catAx>
      <c:valAx>
        <c:axId val="1632729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32728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18815</xdr:colOff>
      <xdr:row>0</xdr:row>
      <xdr:rowOff>126545</xdr:rowOff>
    </xdr:from>
    <xdr:to>
      <xdr:col>13</xdr:col>
      <xdr:colOff>22087</xdr:colOff>
      <xdr:row>11</xdr:row>
      <xdr:rowOff>0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23AE39D0-31FC-E4A7-266E-2A67EE918DEE}"/>
            </a:ext>
          </a:extLst>
        </xdr:cNvPr>
        <xdr:cNvGrpSpPr/>
      </xdr:nvGrpSpPr>
      <xdr:grpSpPr>
        <a:xfrm>
          <a:off x="626356" y="126545"/>
          <a:ext cx="18559001" cy="1912320"/>
          <a:chOff x="624743" y="126545"/>
          <a:chExt cx="14527948" cy="2617238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FF8F523D-AAB6-131B-E6FD-F742EC65F679}"/>
              </a:ext>
            </a:extLst>
          </xdr:cNvPr>
          <xdr:cNvGrpSpPr/>
        </xdr:nvGrpSpPr>
        <xdr:grpSpPr>
          <a:xfrm>
            <a:off x="624743" y="126545"/>
            <a:ext cx="14527948" cy="2611697"/>
            <a:chOff x="633331" y="126545"/>
            <a:chExt cx="14580368" cy="2622063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9A9E9F35-7077-CCA7-A5B9-68FC4700F19B}"/>
                </a:ext>
              </a:extLst>
            </xdr:cNvPr>
            <xdr:cNvGrpSpPr/>
          </xdr:nvGrpSpPr>
          <xdr:grpSpPr>
            <a:xfrm>
              <a:off x="633331" y="126545"/>
              <a:ext cx="14545217" cy="1515933"/>
              <a:chOff x="611481" y="98323"/>
              <a:chExt cx="14533230" cy="1468892"/>
            </a:xfrm>
          </xdr:grpSpPr>
          <xdr:sp macro="" textlink="">
            <xdr:nvSpPr>
              <xdr:cNvPr id="2" name="Rectangle: Rounded Corners 1">
                <a:extLst>
                  <a:ext uri="{FF2B5EF4-FFF2-40B4-BE49-F238E27FC236}">
                    <a16:creationId xmlns:a16="http://schemas.microsoft.com/office/drawing/2014/main" id="{4DDE6E38-53A4-B92E-966D-A8B818966099}"/>
                  </a:ext>
                </a:extLst>
              </xdr:cNvPr>
              <xdr:cNvSpPr/>
            </xdr:nvSpPr>
            <xdr:spPr>
              <a:xfrm>
                <a:off x="611481" y="98323"/>
                <a:ext cx="14533230" cy="437899"/>
              </a:xfrm>
              <a:prstGeom prst="roundRect">
                <a:avLst/>
              </a:prstGeom>
              <a:solidFill>
                <a:schemeClr val="bg2">
                  <a:lumMod val="25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CA" sz="2000" b="1"/>
                  <a:t>Job</a:t>
                </a:r>
                <a:r>
                  <a:rPr lang="en-CA" sz="2000" b="1" baseline="0"/>
                  <a:t> Application Tracker</a:t>
                </a:r>
                <a:endParaRPr lang="en-CA" sz="2000" b="1"/>
              </a:p>
            </xdr:txBody>
          </xdr:sp>
          <xdr:sp macro="" textlink="">
            <xdr:nvSpPr>
              <xdr:cNvPr id="4" name="Rectangle: Rounded Corners 3">
                <a:extLst>
                  <a:ext uri="{FF2B5EF4-FFF2-40B4-BE49-F238E27FC236}">
                    <a16:creationId xmlns:a16="http://schemas.microsoft.com/office/drawing/2014/main" id="{86FCB0ED-A785-5759-7878-BA8AE30FB927}"/>
                  </a:ext>
                </a:extLst>
              </xdr:cNvPr>
              <xdr:cNvSpPr/>
            </xdr:nvSpPr>
            <xdr:spPr>
              <a:xfrm>
                <a:off x="620889" y="696147"/>
                <a:ext cx="2115198" cy="871068"/>
              </a:xfrm>
              <a:prstGeom prst="roundRect">
                <a:avLst/>
              </a:prstGeom>
              <a:solidFill>
                <a:schemeClr val="tx1">
                  <a:lumMod val="75000"/>
                  <a:lumOff val="25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</xdr:grpSp>
        <xdr:sp macro="" textlink="">
          <xdr:nvSpPr>
            <xdr:cNvPr id="17" name="Rectangle: Rounded Corners 16">
              <a:extLst>
                <a:ext uri="{FF2B5EF4-FFF2-40B4-BE49-F238E27FC236}">
                  <a16:creationId xmlns:a16="http://schemas.microsoft.com/office/drawing/2014/main" id="{9CA65484-FA8B-4F5F-9F39-E60188DFFD5D}"/>
                </a:ext>
              </a:extLst>
            </xdr:cNvPr>
            <xdr:cNvSpPr/>
          </xdr:nvSpPr>
          <xdr:spPr>
            <a:xfrm>
              <a:off x="648571" y="1848173"/>
              <a:ext cx="2115711" cy="897867"/>
            </a:xfrm>
            <a:prstGeom prst="roundRect">
              <a:avLst/>
            </a:prstGeom>
            <a:solidFill>
              <a:schemeClr val="tx1">
                <a:lumMod val="75000"/>
                <a:lumOff val="2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8" name="Rectangle: Rounded Corners 17">
              <a:extLst>
                <a:ext uri="{FF2B5EF4-FFF2-40B4-BE49-F238E27FC236}">
                  <a16:creationId xmlns:a16="http://schemas.microsoft.com/office/drawing/2014/main" id="{F6D1A1E2-5892-4034-9BF5-12B685DBA64D}"/>
                </a:ext>
              </a:extLst>
            </xdr:cNvPr>
            <xdr:cNvSpPr/>
          </xdr:nvSpPr>
          <xdr:spPr>
            <a:xfrm>
              <a:off x="3104915" y="742044"/>
              <a:ext cx="2118415" cy="897867"/>
            </a:xfrm>
            <a:prstGeom prst="roundRect">
              <a:avLst/>
            </a:prstGeom>
            <a:solidFill>
              <a:schemeClr val="tx1">
                <a:lumMod val="75000"/>
                <a:lumOff val="2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2D06834E-3DE2-4652-9F67-9A1479483EE0}"/>
                </a:ext>
              </a:extLst>
            </xdr:cNvPr>
            <xdr:cNvSpPr/>
          </xdr:nvSpPr>
          <xdr:spPr>
            <a:xfrm>
              <a:off x="3104915" y="1848173"/>
              <a:ext cx="2118415" cy="897867"/>
            </a:xfrm>
            <a:prstGeom prst="roundRect">
              <a:avLst/>
            </a:prstGeom>
            <a:solidFill>
              <a:schemeClr val="tx1">
                <a:lumMod val="75000"/>
                <a:lumOff val="2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E2EF5870-7E5A-4319-9F04-A564A297EE55}"/>
                </a:ext>
              </a:extLst>
            </xdr:cNvPr>
            <xdr:cNvSpPr/>
          </xdr:nvSpPr>
          <xdr:spPr>
            <a:xfrm>
              <a:off x="5548723" y="732950"/>
              <a:ext cx="4632580" cy="2015658"/>
            </a:xfrm>
            <a:prstGeom prst="roundRect">
              <a:avLst/>
            </a:prstGeom>
            <a:solidFill>
              <a:schemeClr val="tx1">
                <a:lumMod val="75000"/>
                <a:lumOff val="2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27" name="Rectangle: Rounded Corners 26">
              <a:extLst>
                <a:ext uri="{FF2B5EF4-FFF2-40B4-BE49-F238E27FC236}">
                  <a16:creationId xmlns:a16="http://schemas.microsoft.com/office/drawing/2014/main" id="{84C08C65-9698-40F2-8373-B2B2EBB9A088}"/>
                </a:ext>
              </a:extLst>
            </xdr:cNvPr>
            <xdr:cNvSpPr/>
          </xdr:nvSpPr>
          <xdr:spPr>
            <a:xfrm>
              <a:off x="10581118" y="732950"/>
              <a:ext cx="4632581" cy="2015658"/>
            </a:xfrm>
            <a:prstGeom prst="roundRect">
              <a:avLst/>
            </a:prstGeom>
            <a:solidFill>
              <a:schemeClr val="tx1">
                <a:lumMod val="75000"/>
                <a:lumOff val="2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</xdr:grp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1970BF12-C233-831D-A910-18B5526F950F}"/>
              </a:ext>
            </a:extLst>
          </xdr:cNvPr>
          <xdr:cNvGrpSpPr/>
        </xdr:nvGrpSpPr>
        <xdr:grpSpPr>
          <a:xfrm>
            <a:off x="1175873" y="808201"/>
            <a:ext cx="13702800" cy="1935582"/>
            <a:chOff x="1175873" y="808201"/>
            <a:chExt cx="13702800" cy="1935582"/>
          </a:xfrm>
        </xdr:grpSpPr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F371B6F4-E8E3-F6FE-C556-5F0398F681C8}"/>
                </a:ext>
              </a:extLst>
            </xdr:cNvPr>
            <xdr:cNvSpPr txBox="1"/>
          </xdr:nvSpPr>
          <xdr:spPr>
            <a:xfrm>
              <a:off x="1175873" y="808201"/>
              <a:ext cx="958645" cy="2819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CA" sz="2000" b="1">
                  <a:solidFill>
                    <a:schemeClr val="bg1"/>
                  </a:solidFill>
                </a:rPr>
                <a:t>Total</a:t>
              </a:r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B234F7C3-526D-D72B-7331-E90BB2370CAB}"/>
                </a:ext>
              </a:extLst>
            </xdr:cNvPr>
            <xdr:cNvSpPr txBox="1"/>
          </xdr:nvSpPr>
          <xdr:spPr>
            <a:xfrm>
              <a:off x="3660443" y="808201"/>
              <a:ext cx="958645" cy="2819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CA" sz="2000" b="1">
                  <a:solidFill>
                    <a:schemeClr val="bg1"/>
                  </a:solidFill>
                </a:rPr>
                <a:t>Active</a:t>
              </a:r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A26BB522-F648-3563-F112-A2470AAC81DC}"/>
                </a:ext>
              </a:extLst>
            </xdr:cNvPr>
            <xdr:cNvSpPr txBox="1"/>
          </xdr:nvSpPr>
          <xdr:spPr>
            <a:xfrm>
              <a:off x="3660443" y="1897597"/>
              <a:ext cx="958645" cy="2819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CA" sz="2000" b="1">
                  <a:solidFill>
                    <a:schemeClr val="bg1"/>
                  </a:solidFill>
                </a:rPr>
                <a:t>Offer</a:t>
              </a:r>
            </a:p>
          </xdr:txBody>
        </xdr:sp>
        <xdr:sp macro="" textlink="$P$19">
          <xdr:nvSpPr>
            <xdr:cNvPr id="35" name="TextBox 34">
              <a:extLst>
                <a:ext uri="{FF2B5EF4-FFF2-40B4-BE49-F238E27FC236}">
                  <a16:creationId xmlns:a16="http://schemas.microsoft.com/office/drawing/2014/main" id="{3D2EF00B-8CEB-330D-A4DA-09EA34BF84F8}"/>
                </a:ext>
              </a:extLst>
            </xdr:cNvPr>
            <xdr:cNvSpPr txBox="1"/>
          </xdr:nvSpPr>
          <xdr:spPr>
            <a:xfrm>
              <a:off x="1175873" y="1091253"/>
              <a:ext cx="958645" cy="4555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4E36D5B-ED08-43EA-B816-75F2D2D56F16}" type="TxLink">
                <a:rPr lang="en-US" sz="4000" b="1" i="0" u="none" strike="noStrike">
                  <a:solidFill>
                    <a:schemeClr val="bg1"/>
                  </a:solidFill>
                  <a:latin typeface="Aptos Narrow"/>
                </a:rPr>
                <a:pPr algn="ctr"/>
                <a:t>14</a:t>
              </a:fld>
              <a:endParaRPr lang="en-CA" sz="4000" b="1">
                <a:solidFill>
                  <a:schemeClr val="bg1"/>
                </a:solidFill>
              </a:endParaRPr>
            </a:p>
          </xdr:txBody>
        </xdr:sp>
        <xdr:sp macro="" textlink="$P$20">
          <xdr:nvSpPr>
            <xdr:cNvPr id="36" name="TextBox 35">
              <a:extLst>
                <a:ext uri="{FF2B5EF4-FFF2-40B4-BE49-F238E27FC236}">
                  <a16:creationId xmlns:a16="http://schemas.microsoft.com/office/drawing/2014/main" id="{8BD8794D-7957-B85A-F03E-15A0910F8B7A}"/>
                </a:ext>
              </a:extLst>
            </xdr:cNvPr>
            <xdr:cNvSpPr txBox="1"/>
          </xdr:nvSpPr>
          <xdr:spPr>
            <a:xfrm>
              <a:off x="3660443" y="1091253"/>
              <a:ext cx="958645" cy="4555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8A25C8D-15E5-464C-9087-4729D0219726}" type="TxLink">
                <a:rPr lang="en-US" sz="4000" b="1" i="0" u="none" strike="noStrike">
                  <a:solidFill>
                    <a:schemeClr val="bg1"/>
                  </a:solidFill>
                  <a:latin typeface="Aptos Narrow"/>
                </a:rPr>
                <a:pPr algn="ctr"/>
                <a:t>6</a:t>
              </a:fld>
              <a:endParaRPr lang="en-CA" sz="4000" b="1">
                <a:solidFill>
                  <a:schemeClr val="bg1"/>
                </a:solidFill>
              </a:endParaRPr>
            </a:p>
          </xdr:txBody>
        </xdr:sp>
        <xdr:sp macro="" textlink="$P$17">
          <xdr:nvSpPr>
            <xdr:cNvPr id="37" name="TextBox 36">
              <a:extLst>
                <a:ext uri="{FF2B5EF4-FFF2-40B4-BE49-F238E27FC236}">
                  <a16:creationId xmlns:a16="http://schemas.microsoft.com/office/drawing/2014/main" id="{D42CF494-6DE1-2743-4FDF-560E7195E065}"/>
                </a:ext>
              </a:extLst>
            </xdr:cNvPr>
            <xdr:cNvSpPr txBox="1"/>
          </xdr:nvSpPr>
          <xdr:spPr>
            <a:xfrm>
              <a:off x="3660443" y="2202730"/>
              <a:ext cx="958645" cy="4555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6DA83ED-083C-4455-A2A0-BCAD72B2E0F3}" type="TxLink">
                <a:rPr lang="en-US" sz="4000" b="1" i="0" u="none" strike="noStrike">
                  <a:solidFill>
                    <a:schemeClr val="bg1"/>
                  </a:solidFill>
                  <a:latin typeface="Aptos Narrow"/>
                </a:rPr>
                <a:pPr algn="ctr"/>
                <a:t>0</a:t>
              </a:fld>
              <a:endParaRPr lang="en-CA" sz="4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40AF95EA-01A0-EFE0-53BF-9DB9FDCFE54B}"/>
                </a:ext>
              </a:extLst>
            </xdr:cNvPr>
            <xdr:cNvSpPr txBox="1"/>
          </xdr:nvSpPr>
          <xdr:spPr>
            <a:xfrm>
              <a:off x="6652268" y="808201"/>
              <a:ext cx="2354125" cy="2819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CA" sz="2000" b="1">
                  <a:solidFill>
                    <a:schemeClr val="bg1"/>
                  </a:solidFill>
                </a:rPr>
                <a:t>Application</a:t>
              </a:r>
              <a:r>
                <a:rPr lang="en-CA" sz="2000" b="1" baseline="0">
                  <a:solidFill>
                    <a:schemeClr val="bg1"/>
                  </a:solidFill>
                </a:rPr>
                <a:t> Pipline</a:t>
              </a:r>
              <a:endParaRPr lang="en-CA" sz="2000" b="1">
                <a:solidFill>
                  <a:schemeClr val="bg1"/>
                </a:solidFill>
              </a:endParaRPr>
            </a:p>
          </xdr:txBody>
        </xdr:sp>
        <xdr:graphicFrame macro="">
          <xdr:nvGraphicFramePr>
            <xdr:cNvPr id="40" name="Chart 39">
              <a:extLst>
                <a:ext uri="{FF2B5EF4-FFF2-40B4-BE49-F238E27FC236}">
                  <a16:creationId xmlns:a16="http://schemas.microsoft.com/office/drawing/2014/main" id="{A9533517-07A2-1C53-66B6-B133A63CA29E}"/>
                </a:ext>
              </a:extLst>
            </xdr:cNvPr>
            <xdr:cNvGraphicFramePr/>
          </xdr:nvGraphicFramePr>
          <xdr:xfrm>
            <a:off x="5743639" y="970024"/>
            <a:ext cx="4094026" cy="177375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61182C2E-3B51-4AA9-4FBF-BBC3E65ECEA3}"/>
                </a:ext>
              </a:extLst>
            </xdr:cNvPr>
            <xdr:cNvSpPr txBox="1"/>
          </xdr:nvSpPr>
          <xdr:spPr>
            <a:xfrm>
              <a:off x="11706883" y="808201"/>
              <a:ext cx="2354125" cy="2819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CA" sz="2000" b="1">
                  <a:solidFill>
                    <a:schemeClr val="bg1"/>
                  </a:solidFill>
                </a:rPr>
                <a:t>Job</a:t>
              </a:r>
              <a:r>
                <a:rPr lang="en-CA" sz="2000" b="1" baseline="0">
                  <a:solidFill>
                    <a:schemeClr val="bg1"/>
                  </a:solidFill>
                </a:rPr>
                <a:t> Types</a:t>
              </a:r>
            </a:p>
          </xdr:txBody>
        </xdr:sp>
        <xdr:graphicFrame macro="">
          <xdr:nvGraphicFramePr>
            <xdr:cNvPr id="43" name="Chart 42">
              <a:extLst>
                <a:ext uri="{FF2B5EF4-FFF2-40B4-BE49-F238E27FC236}">
                  <a16:creationId xmlns:a16="http://schemas.microsoft.com/office/drawing/2014/main" id="{17FA1ACF-45E2-B4D1-05CD-D53D5020C76D}"/>
                </a:ext>
              </a:extLst>
            </xdr:cNvPr>
            <xdr:cNvGraphicFramePr/>
          </xdr:nvGraphicFramePr>
          <xdr:xfrm>
            <a:off x="10685313" y="1118016"/>
            <a:ext cx="4193360" cy="143225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45" name="Lightning Bolt 44">
              <a:extLst>
                <a:ext uri="{FF2B5EF4-FFF2-40B4-BE49-F238E27FC236}">
                  <a16:creationId xmlns:a16="http://schemas.microsoft.com/office/drawing/2014/main" id="{F2112959-AE35-1E33-23F8-B4097341501D}"/>
                </a:ext>
              </a:extLst>
            </xdr:cNvPr>
            <xdr:cNvSpPr/>
          </xdr:nvSpPr>
          <xdr:spPr>
            <a:xfrm>
              <a:off x="1277254" y="1948342"/>
              <a:ext cx="794601" cy="678168"/>
            </a:xfrm>
            <a:prstGeom prst="lightningBolt">
              <a:avLst/>
            </a:prstGeom>
            <a:solidFill>
              <a:schemeClr val="accent1">
                <a:lumMod val="7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26C841-C39B-468B-B006-FDAC0DBF5244}" name="Table1" displayName="Table1" ref="B13:M38" totalsRowShown="0" headerRowDxfId="4">
  <autoFilter ref="B13:M38" xr:uid="{2A26C841-C39B-468B-B006-FDAC0DBF52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D3BFC68D-0676-49D5-AD33-F31F5837460F}" name="#" dataDxfId="3"/>
    <tableColumn id="2" xr3:uid="{714EC1CC-0EE4-4BBE-B42E-C29A2A5606E6}" name="Company"/>
    <tableColumn id="3" xr3:uid="{FEACDB1A-DB90-4577-B0B3-3335F0F45660}" name="Position"/>
    <tableColumn id="4" xr3:uid="{5070D77C-5D39-4F99-B267-018C5EBB0ED2}" name="Location"/>
    <tableColumn id="5" xr3:uid="{BA34F113-942A-40AC-BCE3-5E51D17DB88A}" name="Job Type"/>
    <tableColumn id="6" xr3:uid="{5ACC7236-1040-4B71-A118-FC420AF8CCD2}" name="Date Applied" dataDxfId="2"/>
    <tableColumn id="7" xr3:uid="{770CB499-04AF-4FC9-9BEF-EE6F7F1E786E}" name="Status" dataDxfId="1"/>
    <tableColumn id="8" xr3:uid="{77B6EFDF-51C8-459A-86B4-1C907B85D675}" name="Follow-up Date" dataDxfId="0"/>
    <tableColumn id="9" xr3:uid="{7F15CF64-B8C7-44AA-BE85-E2248298B235}" name="Contact Person"/>
    <tableColumn id="10" xr3:uid="{12E6258B-A9DA-4997-AFDC-4CC8F94FC85D}" name="Salary Range"/>
    <tableColumn id="11" xr3:uid="{6B742231-3BBA-4CFA-A5F4-751047FF9958}" name="Link"/>
    <tableColumn id="12" xr3:uid="{F86C4B20-B5B7-4515-B11D-9A8FFC1F26FC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a.indeed.com/viewjob?from=app-tracker-post_apply-appcard&amp;hl=en&amp;jk=ad9fe16b87ff55a9&amp;tk=1jn8gspucjnvl800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rbc.wd3.myworkdayjobs.com/en-US/RBCGLOBAL1/userHome?Job_Application_ID=d67c57567f22900e908b5c7a48160000" TargetMode="External"/><Relationship Id="rId7" Type="http://schemas.openxmlformats.org/officeDocument/2006/relationships/hyperlink" Target="https://ca.indeed.com/viewjob?jk=38516ea1810d04e4&amp;from=shareddesktop_copy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s://career8.successfactors.com/portalcareer?company=holcimnort&amp;rmk_user_preference=%7B%22functionalCookies%22%3A%5B%7B%22company%22%3A%22YouTube%22%2C%22checked%22%3A0%7D%5D%2C%22performanceCookies%22%3A%5B%5D%2C%22advertisingCookies%22%3A%5B%5D%2C%22countrytype%22%3A%22optin%22%2C%22dateexpires%22%3A1792534426189%7D&amp;correlation_Id=102553527300&amp;lang=en_US&amp;clientId=jobs2web&amp;socialApply=false&amp;career_ns=&amp;site=&amp;jobPipeline=RCM+Redirect&amp;navBarLevel=MY_PROFILE&amp;isInternalUser=false&amp;showAlertCreated=false&amp;_s.crb=5dqp7t6P%252b9uwJMSK4TOtYQlZRHz7nXZSKMMFHgaWu%252fA%253d" TargetMode="External"/><Relationship Id="rId1" Type="http://schemas.openxmlformats.org/officeDocument/2006/relationships/hyperlink" Target="https://ca.indeed.com/viewjob?from=app-tracker-post_apply-appcard&amp;hl=en&amp;jk=15a1165bcfaed1d5&amp;tk=1jms4cu74gn2t800" TargetMode="External"/><Relationship Id="rId6" Type="http://schemas.openxmlformats.org/officeDocument/2006/relationships/hyperlink" Target="https://cibc.wd3.myworkdayjobs.com/en-US/search/userHome?q=brantford&amp;jobFamilyGroup=4bbe6c74e8a7011d49ad22a881011310&amp;jobFamilyGroup=4bbe6c74e8a70132da752ca881011910&amp;Country=a30a87ed25634629aa6c3958aa2b91ea" TargetMode="External"/><Relationship Id="rId11" Type="http://schemas.openxmlformats.org/officeDocument/2006/relationships/hyperlink" Target="https://workforcenow.adp.com/mascsr/default/mdf/recruitment/recruitment.html?cid=4071fab8-290a-49ef-a434-661c4eafead1&amp;ccId=19000101_000001&amp;lang=en_CA&amp;jobId=950818" TargetMode="External"/><Relationship Id="rId5" Type="http://schemas.openxmlformats.org/officeDocument/2006/relationships/hyperlink" Target="https://aldershotlandscape.com/" TargetMode="External"/><Relationship Id="rId10" Type="http://schemas.openxmlformats.org/officeDocument/2006/relationships/hyperlink" Target="https://recruiting.ultipro.ca/MER5001MCUL/JobBoard/6c1f133f-d0ac-48cd-a17d-bc54fe044ce3/Candidate/ViewPresence" TargetMode="External"/><Relationship Id="rId4" Type="http://schemas.openxmlformats.org/officeDocument/2006/relationships/hyperlink" Target="https://ca.indeed.com/viewjob?jk=5dc961b74317423a&amp;from=shareddesktop_copy" TargetMode="External"/><Relationship Id="rId9" Type="http://schemas.openxmlformats.org/officeDocument/2006/relationships/hyperlink" Target="https://jobs.siemens.com/en_US/externaljobs/ProfileJobApplications" TargetMode="Externa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A8AAC-D740-4862-9A6B-CA9F249A9F92}">
  <sheetPr codeName="Sheet1">
    <pageSetUpPr autoPageBreaks="0"/>
  </sheetPr>
  <dimension ref="B13:S38"/>
  <sheetViews>
    <sheetView tabSelected="1" zoomScale="74" zoomScaleNormal="74" workbookViewId="0">
      <pane ySplit="13" topLeftCell="A17" activePane="bottomLeft" state="frozen"/>
      <selection pane="bottomLeft" activeCell="I29" sqref="I29"/>
    </sheetView>
  </sheetViews>
  <sheetFormatPr defaultRowHeight="14.4" x14ac:dyDescent="0.3"/>
  <cols>
    <col min="2" max="2" width="5.5546875" style="1" customWidth="1"/>
    <col min="3" max="3" width="27.88671875" customWidth="1"/>
    <col min="4" max="4" width="24.109375" customWidth="1"/>
    <col min="5" max="5" width="16.21875" customWidth="1"/>
    <col min="6" max="6" width="18.77734375" customWidth="1"/>
    <col min="7" max="7" width="18.77734375" style="5" customWidth="1"/>
    <col min="8" max="8" width="18.77734375" style="1" customWidth="1"/>
    <col min="9" max="9" width="18.77734375" style="5" customWidth="1"/>
    <col min="10" max="10" width="23.21875" customWidth="1"/>
    <col min="11" max="11" width="18.77734375" customWidth="1"/>
    <col min="12" max="12" width="26.88671875" customWidth="1"/>
    <col min="13" max="13" width="52.6640625" customWidth="1"/>
    <col min="15" max="15" width="13.5546875" customWidth="1"/>
    <col min="16" max="17" width="8.88671875" customWidth="1"/>
    <col min="18" max="18" width="15.33203125" customWidth="1"/>
    <col min="19" max="19" width="8.88671875" customWidth="1"/>
  </cols>
  <sheetData>
    <row r="13" spans="2:19" x14ac:dyDescent="0.3">
      <c r="B13" s="2" t="s">
        <v>0</v>
      </c>
      <c r="C13" s="3" t="s">
        <v>1</v>
      </c>
      <c r="D13" s="3" t="s">
        <v>2</v>
      </c>
      <c r="E13" s="3" t="s">
        <v>3</v>
      </c>
      <c r="F13" s="3" t="s">
        <v>4</v>
      </c>
      <c r="G13" s="4" t="s">
        <v>5</v>
      </c>
      <c r="H13" s="2" t="s">
        <v>6</v>
      </c>
      <c r="I13" s="4" t="s">
        <v>7</v>
      </c>
      <c r="J13" s="3" t="s">
        <v>8</v>
      </c>
      <c r="K13" s="3" t="s">
        <v>9</v>
      </c>
      <c r="L13" s="3" t="s">
        <v>10</v>
      </c>
      <c r="M13" s="3" t="s">
        <v>11</v>
      </c>
      <c r="O13" t="s">
        <v>12</v>
      </c>
      <c r="R13" t="s">
        <v>18</v>
      </c>
    </row>
    <row r="14" spans="2:19" x14ac:dyDescent="0.3">
      <c r="B14" s="1">
        <v>1</v>
      </c>
      <c r="C14" t="s">
        <v>24</v>
      </c>
      <c r="D14" t="s">
        <v>25</v>
      </c>
      <c r="E14" t="s">
        <v>26</v>
      </c>
      <c r="F14" t="s">
        <v>20</v>
      </c>
      <c r="G14" s="5">
        <v>46134</v>
      </c>
      <c r="H14" s="1" t="s">
        <v>17</v>
      </c>
      <c r="I14" s="5">
        <v>46134</v>
      </c>
      <c r="J14">
        <v>5194493079</v>
      </c>
      <c r="K14" t="s">
        <v>27</v>
      </c>
      <c r="L14" s="6" t="s">
        <v>28</v>
      </c>
      <c r="M14" t="s">
        <v>37</v>
      </c>
      <c r="O14" t="s">
        <v>13</v>
      </c>
      <c r="P14" cm="1">
        <f t="array" ref="P14:P18">COUNTIF(Table1[Status],O14:O18)</f>
        <v>3</v>
      </c>
      <c r="R14" t="s">
        <v>19</v>
      </c>
      <c r="S14" cm="1">
        <f t="array" ref="S14:S16">COUNTIF(Table1[Job Type],R14:R16)</f>
        <v>0</v>
      </c>
    </row>
    <row r="15" spans="2:19" x14ac:dyDescent="0.3">
      <c r="B15" s="1">
        <v>2</v>
      </c>
      <c r="C15" t="s">
        <v>31</v>
      </c>
      <c r="D15" t="s">
        <v>29</v>
      </c>
      <c r="E15" t="s">
        <v>30</v>
      </c>
      <c r="F15" t="s">
        <v>20</v>
      </c>
      <c r="G15" s="5">
        <v>46134</v>
      </c>
      <c r="H15" s="1" t="s">
        <v>13</v>
      </c>
      <c r="I15" s="5" t="s">
        <v>27</v>
      </c>
      <c r="J15">
        <v>5194426454</v>
      </c>
      <c r="K15" t="s">
        <v>27</v>
      </c>
      <c r="L15" s="6" t="s">
        <v>28</v>
      </c>
      <c r="M15" t="s">
        <v>36</v>
      </c>
      <c r="O15" t="s">
        <v>14</v>
      </c>
      <c r="P15">
        <v>0</v>
      </c>
      <c r="R15" t="s">
        <v>20</v>
      </c>
      <c r="S15">
        <v>13</v>
      </c>
    </row>
    <row r="16" spans="2:19" x14ac:dyDescent="0.3">
      <c r="B16" s="1">
        <v>3</v>
      </c>
      <c r="C16" t="s">
        <v>32</v>
      </c>
      <c r="D16" t="s">
        <v>34</v>
      </c>
      <c r="E16" t="s">
        <v>33</v>
      </c>
      <c r="F16" t="s">
        <v>20</v>
      </c>
      <c r="G16" s="5">
        <v>46134</v>
      </c>
      <c r="H16" s="1" t="s">
        <v>17</v>
      </c>
      <c r="I16" s="5">
        <v>46134</v>
      </c>
      <c r="J16" s="7">
        <v>5197286500</v>
      </c>
      <c r="K16" t="s">
        <v>27</v>
      </c>
      <c r="L16" s="7" t="s">
        <v>27</v>
      </c>
      <c r="M16" t="s">
        <v>35</v>
      </c>
      <c r="O16" t="s">
        <v>15</v>
      </c>
      <c r="P16">
        <v>3</v>
      </c>
      <c r="R16" t="s">
        <v>21</v>
      </c>
      <c r="S16">
        <v>1</v>
      </c>
    </row>
    <row r="17" spans="2:16" x14ac:dyDescent="0.3">
      <c r="B17" s="1">
        <v>4</v>
      </c>
      <c r="C17" t="s">
        <v>38</v>
      </c>
      <c r="D17" s="7" t="s">
        <v>39</v>
      </c>
      <c r="E17" t="s">
        <v>40</v>
      </c>
      <c r="F17" t="s">
        <v>20</v>
      </c>
      <c r="G17" s="5">
        <v>46073</v>
      </c>
      <c r="H17" s="1" t="s">
        <v>17</v>
      </c>
      <c r="I17" s="8" t="s">
        <v>27</v>
      </c>
      <c r="J17" t="s">
        <v>27</v>
      </c>
      <c r="K17" t="s">
        <v>27</v>
      </c>
      <c r="L17" t="s">
        <v>27</v>
      </c>
      <c r="M17" t="s">
        <v>35</v>
      </c>
      <c r="O17" t="s">
        <v>16</v>
      </c>
      <c r="P17">
        <v>0</v>
      </c>
    </row>
    <row r="18" spans="2:16" x14ac:dyDescent="0.3">
      <c r="B18" s="1">
        <v>5</v>
      </c>
      <c r="C18" t="s">
        <v>41</v>
      </c>
      <c r="D18" t="s">
        <v>42</v>
      </c>
      <c r="E18" t="s">
        <v>43</v>
      </c>
      <c r="F18" t="s">
        <v>20</v>
      </c>
      <c r="G18" s="5">
        <v>46135</v>
      </c>
      <c r="H18" s="1" t="s">
        <v>15</v>
      </c>
      <c r="I18" s="5">
        <v>46135</v>
      </c>
      <c r="J18" s="6" t="s">
        <v>44</v>
      </c>
      <c r="K18" s="9" t="s">
        <v>45</v>
      </c>
      <c r="L18" s="6" t="s">
        <v>28</v>
      </c>
      <c r="M18" t="s">
        <v>64</v>
      </c>
      <c r="O18" t="s">
        <v>17</v>
      </c>
      <c r="P18">
        <v>8</v>
      </c>
    </row>
    <row r="19" spans="2:16" x14ac:dyDescent="0.3">
      <c r="B19" s="1">
        <v>6</v>
      </c>
      <c r="C19" t="s">
        <v>47</v>
      </c>
      <c r="D19" t="s">
        <v>46</v>
      </c>
      <c r="E19" t="s">
        <v>48</v>
      </c>
      <c r="F19" t="s">
        <v>20</v>
      </c>
      <c r="G19" s="5">
        <v>46136</v>
      </c>
      <c r="H19" s="1" t="s">
        <v>17</v>
      </c>
      <c r="I19" s="5">
        <v>46139</v>
      </c>
      <c r="J19" s="7">
        <v>5196237490</v>
      </c>
      <c r="K19" t="s">
        <v>49</v>
      </c>
      <c r="L19" s="6" t="s">
        <v>28</v>
      </c>
      <c r="M19" t="s">
        <v>63</v>
      </c>
      <c r="O19" t="s">
        <v>22</v>
      </c>
      <c r="P19">
        <f>SUM(P14:P18)</f>
        <v>14</v>
      </c>
    </row>
    <row r="20" spans="2:16" x14ac:dyDescent="0.3">
      <c r="B20" s="1">
        <v>7</v>
      </c>
      <c r="C20" t="s">
        <v>50</v>
      </c>
      <c r="D20" t="s">
        <v>51</v>
      </c>
      <c r="E20" t="s">
        <v>52</v>
      </c>
      <c r="F20" t="s">
        <v>20</v>
      </c>
      <c r="G20" s="5">
        <v>46136</v>
      </c>
      <c r="H20" s="1" t="s">
        <v>17</v>
      </c>
      <c r="I20" s="5">
        <v>46139</v>
      </c>
      <c r="J20">
        <v>9058251802</v>
      </c>
      <c r="K20" t="s">
        <v>53</v>
      </c>
      <c r="L20" s="6" t="s">
        <v>28</v>
      </c>
      <c r="M20" t="s">
        <v>65</v>
      </c>
      <c r="O20" t="s">
        <v>23</v>
      </c>
      <c r="P20">
        <f>SUM(P14:P17)</f>
        <v>6</v>
      </c>
    </row>
    <row r="21" spans="2:16" x14ac:dyDescent="0.3">
      <c r="B21" s="1">
        <v>8</v>
      </c>
      <c r="C21" t="s">
        <v>54</v>
      </c>
      <c r="D21" t="s">
        <v>55</v>
      </c>
      <c r="E21" t="s">
        <v>43</v>
      </c>
      <c r="F21" t="s">
        <v>20</v>
      </c>
      <c r="G21" s="5">
        <v>46138</v>
      </c>
      <c r="H21" s="1" t="s">
        <v>17</v>
      </c>
      <c r="I21" s="5">
        <v>46139</v>
      </c>
      <c r="J21" t="s">
        <v>56</v>
      </c>
      <c r="K21" t="s">
        <v>27</v>
      </c>
      <c r="L21" s="6" t="s">
        <v>28</v>
      </c>
      <c r="M21" t="s">
        <v>57</v>
      </c>
    </row>
    <row r="22" spans="2:16" x14ac:dyDescent="0.3">
      <c r="B22" s="1">
        <v>9</v>
      </c>
      <c r="C22" t="s">
        <v>58</v>
      </c>
      <c r="D22" t="s">
        <v>59</v>
      </c>
      <c r="E22" t="s">
        <v>43</v>
      </c>
      <c r="F22" t="s">
        <v>20</v>
      </c>
      <c r="G22" s="5">
        <v>46138</v>
      </c>
      <c r="H22" s="1" t="s">
        <v>15</v>
      </c>
      <c r="I22" s="5">
        <v>46139</v>
      </c>
      <c r="J22" t="s">
        <v>61</v>
      </c>
      <c r="K22" t="s">
        <v>60</v>
      </c>
      <c r="L22" s="6" t="s">
        <v>28</v>
      </c>
      <c r="M22" t="s">
        <v>62</v>
      </c>
    </row>
    <row r="23" spans="2:16" x14ac:dyDescent="0.3">
      <c r="B23" s="1">
        <v>10</v>
      </c>
      <c r="C23" t="s">
        <v>66</v>
      </c>
      <c r="D23" t="s">
        <v>67</v>
      </c>
      <c r="E23" t="s">
        <v>40</v>
      </c>
      <c r="F23" t="s">
        <v>20</v>
      </c>
      <c r="G23" s="5">
        <v>46139</v>
      </c>
      <c r="H23" s="1" t="s">
        <v>17</v>
      </c>
      <c r="I23" s="5">
        <v>46139</v>
      </c>
      <c r="J23" s="10">
        <v>5195600773</v>
      </c>
      <c r="K23" t="s">
        <v>68</v>
      </c>
      <c r="L23" s="6" t="s">
        <v>28</v>
      </c>
      <c r="M23" t="s">
        <v>69</v>
      </c>
    </row>
    <row r="24" spans="2:16" x14ac:dyDescent="0.3">
      <c r="B24" s="1">
        <v>11</v>
      </c>
      <c r="C24" t="s">
        <v>70</v>
      </c>
      <c r="D24" t="s">
        <v>39</v>
      </c>
      <c r="E24" t="s">
        <v>71</v>
      </c>
      <c r="F24" t="s">
        <v>21</v>
      </c>
      <c r="G24" s="5">
        <v>46142</v>
      </c>
      <c r="H24" s="1" t="s">
        <v>17</v>
      </c>
      <c r="I24" s="5" t="s">
        <v>27</v>
      </c>
      <c r="J24" t="s">
        <v>27</v>
      </c>
      <c r="K24" t="s">
        <v>72</v>
      </c>
      <c r="L24" s="6" t="s">
        <v>28</v>
      </c>
      <c r="M24" t="s">
        <v>73</v>
      </c>
    </row>
    <row r="25" spans="2:16" x14ac:dyDescent="0.3">
      <c r="B25" s="1">
        <v>12</v>
      </c>
      <c r="C25" t="s">
        <v>74</v>
      </c>
      <c r="D25" t="s">
        <v>77</v>
      </c>
      <c r="E25" t="s">
        <v>43</v>
      </c>
      <c r="F25" t="s">
        <v>20</v>
      </c>
      <c r="G25" s="5" t="s">
        <v>75</v>
      </c>
      <c r="H25" s="1" t="s">
        <v>13</v>
      </c>
      <c r="I25" s="5" t="s">
        <v>75</v>
      </c>
      <c r="J25" t="s">
        <v>27</v>
      </c>
      <c r="K25" s="11">
        <v>50000</v>
      </c>
      <c r="L25" s="6" t="s">
        <v>28</v>
      </c>
      <c r="M25" t="s">
        <v>76</v>
      </c>
    </row>
    <row r="26" spans="2:16" x14ac:dyDescent="0.3">
      <c r="B26" s="1">
        <v>13</v>
      </c>
      <c r="C26" t="s">
        <v>80</v>
      </c>
      <c r="D26" t="s">
        <v>78</v>
      </c>
      <c r="E26" t="s">
        <v>43</v>
      </c>
      <c r="F26" t="s">
        <v>20</v>
      </c>
      <c r="G26" s="5" t="s">
        <v>75</v>
      </c>
      <c r="H26" s="1" t="s">
        <v>13</v>
      </c>
      <c r="J26" t="s">
        <v>27</v>
      </c>
      <c r="K26" s="11">
        <v>50000</v>
      </c>
      <c r="L26" s="6" t="s">
        <v>28</v>
      </c>
      <c r="M26" t="s">
        <v>79</v>
      </c>
    </row>
    <row r="27" spans="2:16" x14ac:dyDescent="0.3">
      <c r="B27" s="1">
        <v>14</v>
      </c>
      <c r="C27" t="s">
        <v>81</v>
      </c>
      <c r="D27" t="s">
        <v>39</v>
      </c>
      <c r="E27" t="s">
        <v>43</v>
      </c>
      <c r="F27" t="s">
        <v>20</v>
      </c>
      <c r="G27" s="5" t="s">
        <v>82</v>
      </c>
      <c r="H27" s="1" t="s">
        <v>15</v>
      </c>
      <c r="I27" s="5" t="s">
        <v>27</v>
      </c>
      <c r="J27" t="s">
        <v>27</v>
      </c>
      <c r="K27" t="s">
        <v>27</v>
      </c>
      <c r="L27" t="s">
        <v>27</v>
      </c>
      <c r="M27" t="s">
        <v>27</v>
      </c>
    </row>
    <row r="28" spans="2:16" x14ac:dyDescent="0.3">
      <c r="B28" s="1">
        <v>15</v>
      </c>
    </row>
    <row r="29" spans="2:16" x14ac:dyDescent="0.3">
      <c r="B29" s="1">
        <v>16</v>
      </c>
    </row>
    <row r="30" spans="2:16" x14ac:dyDescent="0.3">
      <c r="B30" s="1">
        <v>17</v>
      </c>
    </row>
    <row r="31" spans="2:16" x14ac:dyDescent="0.3">
      <c r="B31" s="1">
        <v>18</v>
      </c>
    </row>
    <row r="32" spans="2:16" x14ac:dyDescent="0.3">
      <c r="B32" s="1">
        <v>19</v>
      </c>
    </row>
    <row r="33" spans="2:2" x14ac:dyDescent="0.3">
      <c r="B33" s="1">
        <v>20</v>
      </c>
    </row>
    <row r="34" spans="2:2" x14ac:dyDescent="0.3">
      <c r="B34" s="1">
        <v>21</v>
      </c>
    </row>
    <row r="35" spans="2:2" x14ac:dyDescent="0.3">
      <c r="B35" s="1">
        <v>22</v>
      </c>
    </row>
    <row r="36" spans="2:2" x14ac:dyDescent="0.3">
      <c r="B36" s="1">
        <v>23</v>
      </c>
    </row>
    <row r="37" spans="2:2" x14ac:dyDescent="0.3">
      <c r="B37" s="1">
        <v>24</v>
      </c>
    </row>
    <row r="38" spans="2:2" x14ac:dyDescent="0.3">
      <c r="B38" s="1">
        <v>25</v>
      </c>
    </row>
  </sheetData>
  <conditionalFormatting sqref="H1:H1048576">
    <cfRule type="cellIs" dxfId="6" priority="1" operator="equal">
      <formula>"Offer"</formula>
    </cfRule>
    <cfRule type="cellIs" dxfId="5" priority="2" operator="equal">
      <formula>"Rejected"</formula>
    </cfRule>
  </conditionalFormatting>
  <dataValidations count="2">
    <dataValidation type="list" allowBlank="1" showInputMessage="1" showErrorMessage="1" sqref="H14:H867" xr:uid="{B04D82D4-5CF4-4A65-91D3-EC06F91290B2}">
      <formula1>$O$14:$O$18</formula1>
    </dataValidation>
    <dataValidation type="list" allowBlank="1" showInputMessage="1" showErrorMessage="1" sqref="F14:F298" xr:uid="{7D6FCD82-8960-41CA-B5A5-809403E59915}">
      <formula1>$R$14:$R$16</formula1>
    </dataValidation>
  </dataValidations>
  <hyperlinks>
    <hyperlink ref="L14" r:id="rId1" display="https://ca.indeed.com/viewjob?from=app-tracker-post_apply-appcard&amp;hl=en&amp;jk=15a1165bcfaed1d5&amp;tk=1jms4cu74gn2t800" xr:uid="{4CED1F96-11F3-4AC7-A054-B8C4FFDED48D}"/>
    <hyperlink ref="L15" r:id="rId2" display="https://career8.successfactors.com/portalcareer?company=holcimnort&amp;rmk_user_preference=%7B%22functionalCookies%22%3A%5B%7B%22company%22%3A%22YouTube%22%2C%22checked%22%3A0%7D%5D%2C%22performanceCookies%22%3A%5B%5D%2C%22advertisingCookies%22%3A%5B%5D%2C%22countrytype%22%3A%22optin%22%2C%22dateexpires%22%3A1792534426189%7D&amp;correlation_Id=102553527300&amp;lang=en_US&amp;clientId=jobs2web&amp;socialApply=false&amp;career_ns=&amp;site=&amp;jobPipeline=RCM+Redirect&amp;navBarLevel=MY_PROFILE&amp;isInternalUser=false&amp;showAlertCreated=false&amp;_s.crb=5dqp7t6P%252b9uwJMSK4TOtYQlZRHz7nXZSKMMFHgaWu%252fA%253d" xr:uid="{25879371-6569-4EEC-A345-9508CACCAA24}"/>
    <hyperlink ref="L18" r:id="rId3" display="https://rbc.wd3.myworkdayjobs.com/en-US/RBCGLOBAL1/userHome?Job_Application_ID=d67c57567f22900e908b5c7a48160000" xr:uid="{83E54C13-3CEB-421C-924E-030BFC942130}"/>
    <hyperlink ref="L19" r:id="rId4" display="https://ca.indeed.com/viewjob?jk=5dc961b74317423a&amp;from=shareddesktop_copy" xr:uid="{B9CFC3B5-9C1F-4655-8B65-0C799157218D}"/>
    <hyperlink ref="L20" r:id="rId5" display="https://aldershotlandscape.com/" xr:uid="{C9876FA7-DDEB-4914-8356-71FA3FE89836}"/>
    <hyperlink ref="L21" r:id="rId6" display="https://cibc.wd3.myworkdayjobs.com/en-US/search/userHome?q=brantford&amp;jobFamilyGroup=4bbe6c74e8a7011d49ad22a881011310&amp;jobFamilyGroup=4bbe6c74e8a70132da752ca881011910&amp;Country=a30a87ed25634629aa6c3958aa2b91ea" xr:uid="{FF4BBCAA-10E5-4540-9EED-6B066D064B88}"/>
    <hyperlink ref="L22" r:id="rId7" display="https://ca.indeed.com/viewjob?jk=38516ea1810d04e4&amp;from=shareddesktop_copy" xr:uid="{979F8C78-BF84-403D-BA02-9D79D00B6310}"/>
    <hyperlink ref="L23" r:id="rId8" display="https://ca.indeed.com/viewjob?from=app-tracker-post_apply-appcard&amp;hl=en&amp;jk=ad9fe16b87ff55a9&amp;tk=1jn8gspucjnvl800" xr:uid="{B8106D73-5328-4EC6-9981-B544A07377B1}"/>
    <hyperlink ref="L24" r:id="rId9" display="https://jobs.siemens.com/en_US/externaljobs/ProfileJobApplications" xr:uid="{FB300FE1-FB58-4A98-BBB2-1D9DEBF1470B}"/>
    <hyperlink ref="L25" r:id="rId10" display="https://recruiting.ultipro.ca/MER5001MCUL/JobBoard/6c1f133f-d0ac-48cd-a17d-bc54fe044ce3/Candidate/ViewPresence" xr:uid="{98B9C7F0-FEEF-40E3-869C-B8DB265B68EB}"/>
    <hyperlink ref="L26" r:id="rId11" display="https://workforcenow.adp.com/mascsr/default/mdf/recruitment/recruitment.html?cid=4071fab8-290a-49ef-a434-661c4eafead1&amp;ccId=19000101_000001&amp;lang=en_CA&amp;jobId=950818" xr:uid="{6265AA77-8BE3-41D9-AE47-CE8248E19C96}"/>
  </hyperlinks>
  <pageMargins left="0.7" right="0.7" top="0.75" bottom="0.75" header="0.3" footer="0.3"/>
  <pageSetup orientation="portrait" r:id="rId12"/>
  <drawing r:id="rId13"/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Applications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Saif Tabassum</dc:creator>
  <cp:lastModifiedBy>Saif Tabassum</cp:lastModifiedBy>
  <dcterms:created xsi:type="dcterms:W3CDTF">2026-04-23T00:53:21Z</dcterms:created>
  <dcterms:modified xsi:type="dcterms:W3CDTF">2026-07-17T08:22:30Z</dcterms:modified>
</cp:coreProperties>
</file>